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F_BOOK\E_BOOK_VBA\VBA_ADV\ch10\"/>
    </mc:Choice>
  </mc:AlternateContent>
  <xr:revisionPtr revIDLastSave="0" documentId="8_{C8CD6708-4A76-442E-9E76-21371D646B3A}" xr6:coauthVersionLast="46" xr6:coauthVersionMax="46" xr10:uidLastSave="{00000000-0000-0000-0000-000000000000}"/>
  <bookViews>
    <workbookView xWindow="7710" yWindow="1995" windowWidth="17520" windowHeight="11610"/>
  </bookViews>
  <sheets>
    <sheet name="自動篩選" sheetId="1" r:id="rId1"/>
    <sheet name="篩選尾碼" sheetId="2" r:id="rId2"/>
    <sheet name="設定進階篩選" sheetId="3" r:id="rId3"/>
    <sheet name="篩選結果" sheetId="4" r:id="rId4"/>
    <sheet name="進階篩選－條件" sheetId="5" r:id="rId5"/>
  </sheets>
  <definedNames>
    <definedName name="_xlnm._FilterDatabase" localSheetId="1" hidden="1">篩選尾碼!$B$5:$I$15</definedName>
    <definedName name="_xlnm.Criteria" localSheetId="2">設定進階篩選!$C$2:$E$4</definedName>
    <definedName name="_xlnm.Criteria" localSheetId="4">'進階篩選－條件'!$C$11:$E$13</definedName>
    <definedName name="_xlnm.Extract" localSheetId="3">篩選結果!$A$2:$H$2</definedName>
    <definedName name="條件範圍" localSheetId="2">設定進階篩選!$C$2:$E$4</definedName>
    <definedName name="傳票" localSheetId="2">設定進階篩選!$B$7:$I$17</definedName>
    <definedName name="傳票" localSheetId="4">'進階篩選－條件'!$B$16:$I$26</definedName>
    <definedName name="傳票" localSheetId="1">篩選尾碼!$B$5:$I$15</definedName>
    <definedName name="傳票">自動篩選!$B$5:$I$15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5" i="2" l="1"/>
  <c r="H14" i="2"/>
  <c r="H13" i="2"/>
  <c r="H12" i="2"/>
  <c r="H11" i="2"/>
  <c r="H10" i="2"/>
  <c r="H9" i="2"/>
  <c r="H8" i="2"/>
  <c r="H7" i="2"/>
  <c r="H6" i="2"/>
  <c r="H15" i="1"/>
  <c r="H14" i="1"/>
  <c r="H13" i="1"/>
  <c r="H12" i="1"/>
  <c r="H11" i="1"/>
  <c r="H10" i="1"/>
  <c r="H9" i="1"/>
  <c r="H8" i="1"/>
  <c r="H7" i="1"/>
  <c r="H6" i="1"/>
  <c r="H17" i="3"/>
  <c r="H16" i="3"/>
  <c r="H15" i="3"/>
  <c r="H14" i="3"/>
  <c r="H13" i="3"/>
  <c r="H12" i="3"/>
  <c r="H11" i="3"/>
  <c r="H10" i="3"/>
  <c r="H9" i="3"/>
  <c r="H8" i="3"/>
</calcChain>
</file>

<file path=xl/sharedStrings.xml><?xml version="1.0" encoding="utf-8"?>
<sst xmlns="http://schemas.openxmlformats.org/spreadsheetml/2006/main" count="182" uniqueCount="77">
  <si>
    <t>顧客名稱</t>
    <rPh sb="0" eb="2">
      <t>コキャク</t>
    </rPh>
    <rPh sb="2" eb="3">
      <t>メイ</t>
    </rPh>
    <phoneticPr fontId="8"/>
  </si>
  <si>
    <t>艾斯</t>
    <phoneticPr fontId="8"/>
  </si>
  <si>
    <t>露希</t>
    <phoneticPr fontId="8"/>
  </si>
  <si>
    <t>萊得</t>
    <phoneticPr fontId="8"/>
  </si>
  <si>
    <t>付款日期</t>
    <rPh sb="0" eb="2">
      <t>ノウキ</t>
    </rPh>
    <phoneticPr fontId="8"/>
  </si>
  <si>
    <t>&gt;=2006/2/16</t>
    <phoneticPr fontId="8"/>
  </si>
  <si>
    <t>&lt;2006/3/1</t>
    <phoneticPr fontId="8"/>
  </si>
  <si>
    <t>NO</t>
  </si>
  <si>
    <t>產品名稱</t>
  </si>
  <si>
    <t>貨號</t>
  </si>
  <si>
    <t>售價</t>
  </si>
  <si>
    <t>數量</t>
  </si>
  <si>
    <t>總計</t>
  </si>
  <si>
    <t>付款日期</t>
  </si>
  <si>
    <t>曉薩</t>
  </si>
  <si>
    <t>蛋捲</t>
  </si>
  <si>
    <t>SW-001</t>
  </si>
  <si>
    <r>
      <t>2</t>
    </r>
    <r>
      <rPr>
        <sz val="10"/>
        <rFont val="細明體"/>
        <family val="3"/>
        <charset val="136"/>
      </rPr>
      <t>月</t>
    </r>
    <r>
      <rPr>
        <sz val="10"/>
        <rFont val="Verdana"/>
        <family val="2"/>
      </rPr>
      <t>5</t>
    </r>
    <r>
      <rPr>
        <sz val="10"/>
        <rFont val="細明體"/>
        <family val="3"/>
        <charset val="136"/>
      </rPr>
      <t>日</t>
    </r>
  </si>
  <si>
    <t>輕禾雜貨</t>
  </si>
  <si>
    <t>炒麵</t>
  </si>
  <si>
    <t>CK-001</t>
  </si>
  <si>
    <r>
      <t>2</t>
    </r>
    <r>
      <rPr>
        <sz val="10"/>
        <rFont val="細明體"/>
        <family val="3"/>
        <charset val="136"/>
      </rPr>
      <t>月</t>
    </r>
    <r>
      <rPr>
        <sz val="10"/>
        <rFont val="Verdana"/>
        <family val="2"/>
      </rPr>
      <t>15</t>
    </r>
    <r>
      <rPr>
        <sz val="10"/>
        <rFont val="細明體"/>
        <family val="3"/>
        <charset val="136"/>
      </rPr>
      <t>日</t>
    </r>
  </si>
  <si>
    <t>比士陀</t>
  </si>
  <si>
    <t>土司麵包</t>
  </si>
  <si>
    <t>BB-001</t>
  </si>
  <si>
    <r>
      <t>2</t>
    </r>
    <r>
      <rPr>
        <sz val="10"/>
        <rFont val="細明體"/>
        <family val="3"/>
        <charset val="136"/>
      </rPr>
      <t>月</t>
    </r>
    <r>
      <rPr>
        <sz val="10"/>
        <rFont val="Verdana"/>
        <family val="2"/>
      </rPr>
      <t>3</t>
    </r>
    <r>
      <rPr>
        <sz val="10"/>
        <rFont val="細明體"/>
        <family val="3"/>
        <charset val="136"/>
      </rPr>
      <t>日</t>
    </r>
  </si>
  <si>
    <t>艾斯</t>
  </si>
  <si>
    <r>
      <t>1</t>
    </r>
    <r>
      <rPr>
        <sz val="10"/>
        <rFont val="細明體"/>
        <family val="3"/>
        <charset val="136"/>
      </rPr>
      <t>月</t>
    </r>
    <r>
      <rPr>
        <sz val="10"/>
        <rFont val="Verdana"/>
        <family val="2"/>
      </rPr>
      <t>31</t>
    </r>
    <r>
      <rPr>
        <sz val="10"/>
        <rFont val="細明體"/>
        <family val="3"/>
        <charset val="136"/>
      </rPr>
      <t>日</t>
    </r>
  </si>
  <si>
    <r>
      <t>2</t>
    </r>
    <r>
      <rPr>
        <sz val="10"/>
        <rFont val="細明體"/>
        <family val="3"/>
        <charset val="136"/>
      </rPr>
      <t>月</t>
    </r>
    <r>
      <rPr>
        <sz val="10"/>
        <rFont val="Verdana"/>
        <family val="2"/>
      </rPr>
      <t>10</t>
    </r>
    <r>
      <rPr>
        <sz val="10"/>
        <rFont val="細明體"/>
        <family val="3"/>
        <charset val="136"/>
      </rPr>
      <t>日</t>
    </r>
  </si>
  <si>
    <t>塔克中學</t>
  </si>
  <si>
    <t>CN-001</t>
  </si>
  <si>
    <t>露希</t>
  </si>
  <si>
    <t>餅乾</t>
  </si>
  <si>
    <t>CK-002</t>
  </si>
  <si>
    <r>
      <t>3</t>
    </r>
    <r>
      <rPr>
        <sz val="10"/>
        <rFont val="細明體"/>
        <family val="3"/>
        <charset val="136"/>
      </rPr>
      <t>月</t>
    </r>
    <r>
      <rPr>
        <sz val="10"/>
        <rFont val="Verdana"/>
        <family val="2"/>
      </rPr>
      <t>1</t>
    </r>
    <r>
      <rPr>
        <sz val="10"/>
        <rFont val="細明體"/>
        <family val="3"/>
        <charset val="136"/>
      </rPr>
      <t>日</t>
    </r>
  </si>
  <si>
    <t>萊得</t>
  </si>
  <si>
    <t>甜甜圈</t>
  </si>
  <si>
    <t>SW-002</t>
  </si>
  <si>
    <r>
      <t>2</t>
    </r>
    <r>
      <rPr>
        <sz val="10"/>
        <rFont val="細明體"/>
        <family val="3"/>
        <charset val="136"/>
      </rPr>
      <t>月</t>
    </r>
    <r>
      <rPr>
        <sz val="10"/>
        <rFont val="Verdana"/>
        <family val="2"/>
      </rPr>
      <t>28</t>
    </r>
    <r>
      <rPr>
        <sz val="10"/>
        <rFont val="細明體"/>
        <family val="3"/>
        <charset val="136"/>
      </rPr>
      <t>日</t>
    </r>
  </si>
  <si>
    <t>艾瑪特</t>
  </si>
  <si>
    <t>小籠包</t>
  </si>
  <si>
    <t>SW-003</t>
  </si>
  <si>
    <r>
      <t>2</t>
    </r>
    <r>
      <rPr>
        <sz val="10"/>
        <rFont val="細明體"/>
        <family val="3"/>
        <charset val="136"/>
      </rPr>
      <t>月</t>
    </r>
    <r>
      <rPr>
        <sz val="10"/>
        <rFont val="Verdana"/>
        <family val="2"/>
      </rPr>
      <t>18</t>
    </r>
    <r>
      <rPr>
        <sz val="10"/>
        <rFont val="細明體"/>
        <family val="3"/>
        <charset val="136"/>
      </rPr>
      <t>日</t>
    </r>
  </si>
  <si>
    <t>NO</t>
    <phoneticPr fontId="8"/>
  </si>
  <si>
    <t>產品名稱</t>
    <rPh sb="0" eb="3">
      <t>ショウヒンメイ</t>
    </rPh>
    <phoneticPr fontId="8"/>
  </si>
  <si>
    <t>貨號</t>
    <rPh sb="0" eb="2">
      <t>カタバン</t>
    </rPh>
    <phoneticPr fontId="8"/>
  </si>
  <si>
    <t>售價</t>
    <rPh sb="0" eb="2">
      <t>タンカ</t>
    </rPh>
    <phoneticPr fontId="8"/>
  </si>
  <si>
    <t>數量</t>
    <rPh sb="0" eb="2">
      <t>スウリョウ</t>
    </rPh>
    <phoneticPr fontId="8"/>
  </si>
  <si>
    <t>總計</t>
    <rPh sb="0" eb="2">
      <t>キンガク</t>
    </rPh>
    <phoneticPr fontId="8"/>
  </si>
  <si>
    <t>曉薩</t>
    <rPh sb="0" eb="2">
      <t>キッサ</t>
    </rPh>
    <phoneticPr fontId="8"/>
  </si>
  <si>
    <t>蛋捲</t>
    <phoneticPr fontId="8"/>
  </si>
  <si>
    <t>SW-001</t>
    <phoneticPr fontId="8"/>
  </si>
  <si>
    <t>輕禾雜貨</t>
    <rPh sb="0" eb="2">
      <t>アオキ</t>
    </rPh>
    <rPh sb="2" eb="4">
      <t>ショウテン</t>
    </rPh>
    <phoneticPr fontId="8"/>
  </si>
  <si>
    <t>炒麵</t>
    <rPh sb="0" eb="1">
      <t>ヤ</t>
    </rPh>
    <phoneticPr fontId="8"/>
  </si>
  <si>
    <t>CK-001</t>
    <phoneticPr fontId="8"/>
  </si>
  <si>
    <t>比士陀</t>
    <phoneticPr fontId="8"/>
  </si>
  <si>
    <t>土司麵包</t>
    <rPh sb="0" eb="1">
      <t>シロ</t>
    </rPh>
    <phoneticPr fontId="8"/>
  </si>
  <si>
    <t>BB-001</t>
    <phoneticPr fontId="8"/>
  </si>
  <si>
    <t>艾斯</t>
    <phoneticPr fontId="8"/>
  </si>
  <si>
    <t>塔克中學</t>
    <rPh sb="2" eb="4">
      <t>ガクエン</t>
    </rPh>
    <phoneticPr fontId="8"/>
  </si>
  <si>
    <t>蛋捲</t>
    <phoneticPr fontId="8"/>
  </si>
  <si>
    <t>CN-001</t>
    <phoneticPr fontId="8"/>
  </si>
  <si>
    <t>露希</t>
    <phoneticPr fontId="8"/>
  </si>
  <si>
    <t>餅乾</t>
    <rPh sb="0" eb="2">
      <t>ワフウ</t>
    </rPh>
    <phoneticPr fontId="8"/>
  </si>
  <si>
    <t>CK-002</t>
    <phoneticPr fontId="8"/>
  </si>
  <si>
    <t>萊得</t>
    <phoneticPr fontId="8"/>
  </si>
  <si>
    <t>甜甜圈</t>
    <phoneticPr fontId="8"/>
  </si>
  <si>
    <t>SW-002</t>
    <phoneticPr fontId="8"/>
  </si>
  <si>
    <t>艾瑪特</t>
    <phoneticPr fontId="8"/>
  </si>
  <si>
    <t>小籠包</t>
    <rPh sb="0" eb="1">
      <t>ム</t>
    </rPh>
    <phoneticPr fontId="8"/>
  </si>
  <si>
    <t>SW-003</t>
    <phoneticPr fontId="8"/>
  </si>
  <si>
    <t>CK-001</t>
    <phoneticPr fontId="8"/>
  </si>
  <si>
    <t>比士陀</t>
    <phoneticPr fontId="8"/>
  </si>
  <si>
    <t>BB-001</t>
    <phoneticPr fontId="8"/>
  </si>
  <si>
    <t>艾斯</t>
    <phoneticPr fontId="8"/>
  </si>
  <si>
    <t>SW-003</t>
    <phoneticPr fontId="8"/>
  </si>
  <si>
    <t>顧客名稱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</si>
</sst>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81" formatCode="_-* #,##0_-;\-* #,##0_-;_-* &quot;-&quot;_-;_-@_-"/>
    <numFmt numFmtId="184" formatCode="m&quot;月&quot;d&quot;日&quot;;@"/>
  </numFmts>
  <fonts count="14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10"/>
      <name val="Verdana"/>
      <family val="2"/>
    </font>
    <font>
      <sz val="10"/>
      <name val="新細明體"/>
      <family val="1"/>
      <charset val="136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name val="細明體"/>
      <family val="3"/>
      <charset val="136"/>
    </font>
    <font>
      <sz val="9"/>
      <color indexed="12"/>
      <name val="新細明體"/>
      <family val="1"/>
      <charset val="136"/>
    </font>
    <font>
      <sz val="9"/>
      <color indexed="12"/>
      <name val="Verdana"/>
      <family val="2"/>
    </font>
    <font>
      <sz val="9"/>
      <color indexed="10"/>
      <name val="新細明體"/>
      <family val="1"/>
      <charset val="136"/>
    </font>
    <font>
      <sz val="1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7" fillId="0" borderId="0">
      <alignment vertical="center"/>
    </xf>
    <xf numFmtId="181" fontId="1" fillId="0" borderId="0" applyFont="0" applyFill="0" applyBorder="0" applyAlignment="0" applyProtection="0"/>
  </cellStyleXfs>
  <cellXfs count="29">
    <xf numFmtId="0" fontId="0" fillId="0" borderId="0" xfId="0"/>
    <xf numFmtId="0" fontId="5" fillId="0" borderId="0" xfId="0" applyFont="1"/>
    <xf numFmtId="0" fontId="6" fillId="2" borderId="1" xfId="1" applyFont="1" applyFill="1" applyBorder="1" applyAlignment="1">
      <alignment horizontal="center" vertical="center"/>
    </xf>
    <xf numFmtId="0" fontId="6" fillId="0" borderId="2" xfId="1" applyFont="1" applyBorder="1">
      <alignment vertical="center"/>
    </xf>
    <xf numFmtId="0" fontId="6" fillId="0" borderId="3" xfId="1" applyFont="1" applyBorder="1">
      <alignment vertical="center"/>
    </xf>
    <xf numFmtId="0" fontId="5" fillId="0" borderId="0" xfId="0" applyFont="1" applyBorder="1"/>
    <xf numFmtId="0" fontId="6" fillId="2" borderId="4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5" fillId="0" borderId="6" xfId="0" applyFont="1" applyBorder="1"/>
    <xf numFmtId="0" fontId="5" fillId="0" borderId="7" xfId="0" applyFont="1" applyBorder="1"/>
    <xf numFmtId="0" fontId="6" fillId="2" borderId="8" xfId="0" applyFont="1" applyFill="1" applyBorder="1" applyAlignment="1">
      <alignment horizontal="center" vertical="center"/>
    </xf>
    <xf numFmtId="0" fontId="6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3" borderId="4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0" borderId="10" xfId="0" applyFont="1" applyBorder="1"/>
    <xf numFmtId="181" fontId="5" fillId="0" borderId="10" xfId="2" applyFont="1" applyBorder="1" applyAlignment="1">
      <alignment vertical="center"/>
    </xf>
    <xf numFmtId="56" fontId="5" fillId="0" borderId="11" xfId="0" applyNumberFormat="1" applyFont="1" applyBorder="1"/>
    <xf numFmtId="181" fontId="5" fillId="0" borderId="0" xfId="2" applyFont="1" applyFill="1" applyBorder="1" applyAlignment="1">
      <alignment vertical="center"/>
    </xf>
    <xf numFmtId="0" fontId="6" fillId="0" borderId="12" xfId="0" applyFont="1" applyBorder="1"/>
    <xf numFmtId="181" fontId="5" fillId="0" borderId="12" xfId="2" applyFont="1" applyBorder="1" applyAlignment="1">
      <alignment vertical="center"/>
    </xf>
    <xf numFmtId="56" fontId="5" fillId="0" borderId="7" xfId="0" applyNumberFormat="1" applyFont="1" applyBorder="1"/>
    <xf numFmtId="0" fontId="5" fillId="0" borderId="9" xfId="0" applyFont="1" applyBorder="1"/>
    <xf numFmtId="184" fontId="5" fillId="0" borderId="11" xfId="0" applyNumberFormat="1" applyFont="1" applyBorder="1"/>
    <xf numFmtId="184" fontId="5" fillId="0" borderId="7" xfId="0" applyNumberFormat="1" applyFont="1" applyBorder="1"/>
    <xf numFmtId="0" fontId="13" fillId="0" borderId="0" xfId="0" applyFont="1"/>
  </cellXfs>
  <cellStyles count="3">
    <cellStyle name="Comma [0]" xfId="2" builtinId="6"/>
    <cellStyle name="Normal" xfId="0" builtinId="0"/>
    <cellStyle name="一般_10章-1-Original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17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E6023A78-AA15-4551-BC81-B772171588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</a:t>
              </a: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99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以</a:t>
              </a: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AutoFilter</a:t>
              </a: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方法篩選出「蛋捲」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</a:t>
              </a: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AutoFilterSample1</a:t>
              </a: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17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90A3410B-7C55-4A34-9D45-632663B55A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</a:t>
              </a: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100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解除自動篩選，顯示所有資料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</a:t>
              </a: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AutoFilterSample2</a:t>
              </a: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17</xdr:row>
          <xdr:rowOff>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2E6342D4-1C5B-423F-8392-5EE69A11AA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</a:t>
              </a: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101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AutoFilterMode</a:t>
              </a: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屬性的特性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</a:t>
              </a: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AutoFilterModeSample</a:t>
              </a: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」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2A19F2F7-A824-480A-A350-9BE6932EB2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</a:t>
              </a: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102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以</a:t>
              </a: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AutoFilter</a:t>
              </a: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方法篩選數值的尾碼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</a:t>
              </a: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AutoFilterSample3</a:t>
              </a: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」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0</xdr:row>
          <xdr:rowOff>0</xdr:rowOff>
        </xdr:from>
        <xdr:to>
          <xdr:col>9</xdr:col>
          <xdr:colOff>228600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8CBC82A-F173-4866-BAAF-22A867335E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</a:t>
              </a: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103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以</a:t>
              </a: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AdvancedFilter</a:t>
              </a: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方法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變更清單內容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</a:t>
              </a: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AdvancedFilterSample1</a:t>
              </a: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0</xdr:row>
          <xdr:rowOff>0</xdr:rowOff>
        </xdr:from>
        <xdr:to>
          <xdr:col>11</xdr:col>
          <xdr:colOff>542925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0F2E9D4-2E7E-4744-8C56-D6170BB9AE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</a:t>
              </a: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104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將</a:t>
              </a: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AdvancedFilter</a:t>
              </a: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的篩選結果複製到其他地方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</a:t>
              </a: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AdvancedFilterSample2</a:t>
              </a: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18</xdr:row>
          <xdr:rowOff>0</xdr:rowOff>
        </xdr:from>
        <xdr:to>
          <xdr:col>3</xdr:col>
          <xdr:colOff>390525</xdr:colOff>
          <xdr:row>22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972F06B8-32A0-4D07-875A-BEA1A1E178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FF0000"/>
                  </a:solidFill>
                  <a:latin typeface="新細明體"/>
                  <a:ea typeface="新細明體"/>
                </a:rPr>
                <a:t>還原清單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4:I15"/>
  <sheetViews>
    <sheetView tabSelected="1" workbookViewId="0"/>
  </sheetViews>
  <sheetFormatPr defaultRowHeight="12.75"/>
  <cols>
    <col min="1" max="1" width="3.625" style="1" customWidth="1"/>
    <col min="2" max="2" width="3.875" style="1" bestFit="1" customWidth="1"/>
    <col min="3" max="3" width="10.625" style="1" customWidth="1"/>
    <col min="4" max="4" width="11.25" style="1" customWidth="1"/>
    <col min="5" max="5" width="8.125" style="1" bestFit="1" customWidth="1"/>
    <col min="6" max="7" width="6.25" style="1" bestFit="1" customWidth="1"/>
    <col min="8" max="8" width="7.875" style="1" bestFit="1" customWidth="1"/>
    <col min="9" max="9" width="8" style="1" bestFit="1" customWidth="1"/>
    <col min="10" max="10" width="3.125" style="1" customWidth="1"/>
    <col min="11" max="11" width="11.125" style="1" customWidth="1"/>
    <col min="12" max="12" width="11.75" style="1" customWidth="1"/>
    <col min="13" max="16384" width="9" style="1"/>
  </cols>
  <sheetData>
    <row r="4" spans="2:9" ht="13.5" thickBot="1"/>
    <row r="5" spans="2:9" ht="14.25">
      <c r="B5" s="15" t="s">
        <v>43</v>
      </c>
      <c r="C5" s="16" t="s">
        <v>0</v>
      </c>
      <c r="D5" s="16" t="s">
        <v>44</v>
      </c>
      <c r="E5" s="16" t="s">
        <v>45</v>
      </c>
      <c r="F5" s="16" t="s">
        <v>46</v>
      </c>
      <c r="G5" s="16" t="s">
        <v>47</v>
      </c>
      <c r="H5" s="16" t="s">
        <v>48</v>
      </c>
      <c r="I5" s="17" t="s">
        <v>4</v>
      </c>
    </row>
    <row r="6" spans="2:9" ht="14.25">
      <c r="B6" s="25">
        <v>1</v>
      </c>
      <c r="C6" s="18" t="s">
        <v>49</v>
      </c>
      <c r="D6" s="18" t="s">
        <v>50</v>
      </c>
      <c r="E6" s="12" t="s">
        <v>51</v>
      </c>
      <c r="F6" s="19">
        <v>210</v>
      </c>
      <c r="G6" s="19">
        <v>20</v>
      </c>
      <c r="H6" s="19">
        <f>F6*G6</f>
        <v>4200</v>
      </c>
      <c r="I6" s="26">
        <v>38753</v>
      </c>
    </row>
    <row r="7" spans="2:9" ht="14.25">
      <c r="B7" s="25">
        <v>2</v>
      </c>
      <c r="C7" s="18" t="s">
        <v>52</v>
      </c>
      <c r="D7" s="18" t="s">
        <v>53</v>
      </c>
      <c r="E7" s="12" t="s">
        <v>71</v>
      </c>
      <c r="F7" s="19">
        <v>130</v>
      </c>
      <c r="G7" s="19">
        <v>10</v>
      </c>
      <c r="H7" s="19">
        <f t="shared" ref="H7:H15" si="0">F7*G7</f>
        <v>1300</v>
      </c>
      <c r="I7" s="26">
        <v>38763</v>
      </c>
    </row>
    <row r="8" spans="2:9" ht="14.25">
      <c r="B8" s="25">
        <v>3</v>
      </c>
      <c r="C8" s="18" t="s">
        <v>72</v>
      </c>
      <c r="D8" s="18" t="s">
        <v>56</v>
      </c>
      <c r="E8" s="12" t="s">
        <v>73</v>
      </c>
      <c r="F8" s="19">
        <v>80</v>
      </c>
      <c r="G8" s="19">
        <v>50</v>
      </c>
      <c r="H8" s="19">
        <f t="shared" si="0"/>
        <v>4000</v>
      </c>
      <c r="I8" s="26">
        <v>38751</v>
      </c>
    </row>
    <row r="9" spans="2:9" ht="14.25">
      <c r="B9" s="25">
        <v>4</v>
      </c>
      <c r="C9" s="18" t="s">
        <v>74</v>
      </c>
      <c r="D9" s="18" t="s">
        <v>53</v>
      </c>
      <c r="E9" s="12" t="s">
        <v>71</v>
      </c>
      <c r="F9" s="19">
        <v>130</v>
      </c>
      <c r="G9" s="19">
        <v>10</v>
      </c>
      <c r="H9" s="19">
        <f t="shared" si="0"/>
        <v>1300</v>
      </c>
      <c r="I9" s="26">
        <v>38748</v>
      </c>
    </row>
    <row r="10" spans="2:9" ht="14.25">
      <c r="B10" s="25">
        <v>5</v>
      </c>
      <c r="C10" s="18" t="s">
        <v>74</v>
      </c>
      <c r="D10" s="18" t="s">
        <v>56</v>
      </c>
      <c r="E10" s="12" t="s">
        <v>73</v>
      </c>
      <c r="F10" s="19">
        <v>80</v>
      </c>
      <c r="G10" s="19">
        <v>100</v>
      </c>
      <c r="H10" s="19">
        <f t="shared" si="0"/>
        <v>8000</v>
      </c>
      <c r="I10" s="26">
        <v>38758</v>
      </c>
    </row>
    <row r="11" spans="2:9" ht="14.25">
      <c r="B11" s="25">
        <v>6</v>
      </c>
      <c r="C11" s="18" t="s">
        <v>59</v>
      </c>
      <c r="D11" s="18" t="s">
        <v>53</v>
      </c>
      <c r="E11" s="12" t="s">
        <v>71</v>
      </c>
      <c r="F11" s="19">
        <v>130</v>
      </c>
      <c r="G11" s="19">
        <v>20</v>
      </c>
      <c r="H11" s="19">
        <f t="shared" si="0"/>
        <v>2600</v>
      </c>
      <c r="I11" s="26">
        <v>38763</v>
      </c>
    </row>
    <row r="12" spans="2:9" ht="14.25">
      <c r="B12" s="25">
        <v>7</v>
      </c>
      <c r="C12" s="18" t="s">
        <v>59</v>
      </c>
      <c r="D12" s="18" t="s">
        <v>60</v>
      </c>
      <c r="E12" s="12" t="s">
        <v>61</v>
      </c>
      <c r="F12" s="19">
        <v>210</v>
      </c>
      <c r="G12" s="19">
        <v>30</v>
      </c>
      <c r="H12" s="19">
        <f t="shared" si="0"/>
        <v>6300</v>
      </c>
      <c r="I12" s="26">
        <v>38763</v>
      </c>
    </row>
    <row r="13" spans="2:9" ht="14.25">
      <c r="B13" s="25">
        <v>8</v>
      </c>
      <c r="C13" s="18" t="s">
        <v>62</v>
      </c>
      <c r="D13" s="18" t="s">
        <v>63</v>
      </c>
      <c r="E13" s="12" t="s">
        <v>64</v>
      </c>
      <c r="F13" s="19">
        <v>150</v>
      </c>
      <c r="G13" s="19">
        <v>15</v>
      </c>
      <c r="H13" s="19">
        <f t="shared" si="0"/>
        <v>2250</v>
      </c>
      <c r="I13" s="26">
        <v>38777</v>
      </c>
    </row>
    <row r="14" spans="2:9" ht="14.25">
      <c r="B14" s="25">
        <v>9</v>
      </c>
      <c r="C14" s="18" t="s">
        <v>65</v>
      </c>
      <c r="D14" s="18" t="s">
        <v>66</v>
      </c>
      <c r="E14" s="12" t="s">
        <v>67</v>
      </c>
      <c r="F14" s="19">
        <v>100</v>
      </c>
      <c r="G14" s="19">
        <v>20</v>
      </c>
      <c r="H14" s="19">
        <f t="shared" si="0"/>
        <v>2000</v>
      </c>
      <c r="I14" s="26">
        <v>38776</v>
      </c>
    </row>
    <row r="15" spans="2:9" ht="15" thickBot="1">
      <c r="B15" s="8">
        <v>10</v>
      </c>
      <c r="C15" s="22" t="s">
        <v>68</v>
      </c>
      <c r="D15" s="22" t="s">
        <v>69</v>
      </c>
      <c r="E15" s="14" t="s">
        <v>75</v>
      </c>
      <c r="F15" s="23">
        <v>90</v>
      </c>
      <c r="G15" s="23">
        <v>50</v>
      </c>
      <c r="H15" s="23">
        <f t="shared" si="0"/>
        <v>4500</v>
      </c>
      <c r="I15" s="27">
        <v>38766</v>
      </c>
    </row>
  </sheetData>
  <phoneticPr fontId="2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utoFilterSample1">
                <anchor moveWithCells="1" siz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utoFilterSample2">
                <anchor moveWithCells="1" siz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AutoFilterModeSample">
                <anchor moveWithCells="1" sizeWithCells="1">
                  <from>
                    <xdr:col>10</xdr:col>
                    <xdr:colOff>0</xdr:colOff>
                    <xdr:row>17</xdr:row>
                    <xdr:rowOff>0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4:I15"/>
  <sheetViews>
    <sheetView workbookViewId="0"/>
  </sheetViews>
  <sheetFormatPr defaultRowHeight="12.75"/>
  <cols>
    <col min="1" max="1" width="3.625" style="1" customWidth="1"/>
    <col min="2" max="2" width="7.875" style="1" bestFit="1" customWidth="1"/>
    <col min="3" max="4" width="12" style="1" bestFit="1" customWidth="1"/>
    <col min="5" max="9" width="8.75" style="1" bestFit="1" customWidth="1"/>
    <col min="10" max="16384" width="9" style="1"/>
  </cols>
  <sheetData>
    <row r="4" spans="2:9" ht="13.5" thickBot="1"/>
    <row r="5" spans="2:9" ht="14.25">
      <c r="B5" s="15" t="s">
        <v>43</v>
      </c>
      <c r="C5" s="16" t="s">
        <v>0</v>
      </c>
      <c r="D5" s="16" t="s">
        <v>44</v>
      </c>
      <c r="E5" s="16" t="s">
        <v>45</v>
      </c>
      <c r="F5" s="16" t="s">
        <v>46</v>
      </c>
      <c r="G5" s="16" t="s">
        <v>47</v>
      </c>
      <c r="H5" s="16" t="s">
        <v>48</v>
      </c>
      <c r="I5" s="17" t="s">
        <v>4</v>
      </c>
    </row>
    <row r="6" spans="2:9" ht="14.25">
      <c r="B6" s="25">
        <v>1001</v>
      </c>
      <c r="C6" s="18" t="s">
        <v>49</v>
      </c>
      <c r="D6" s="18" t="s">
        <v>50</v>
      </c>
      <c r="E6" s="12" t="s">
        <v>51</v>
      </c>
      <c r="F6" s="19">
        <v>210</v>
      </c>
      <c r="G6" s="19">
        <v>20</v>
      </c>
      <c r="H6" s="19">
        <f>F6*G6</f>
        <v>4200</v>
      </c>
      <c r="I6" s="26">
        <v>38753</v>
      </c>
    </row>
    <row r="7" spans="2:9" ht="14.25">
      <c r="B7" s="25">
        <v>1015</v>
      </c>
      <c r="C7" s="18" t="s">
        <v>52</v>
      </c>
      <c r="D7" s="18" t="s">
        <v>53</v>
      </c>
      <c r="E7" s="12" t="s">
        <v>71</v>
      </c>
      <c r="F7" s="19">
        <v>130</v>
      </c>
      <c r="G7" s="19">
        <v>10</v>
      </c>
      <c r="H7" s="19">
        <f t="shared" ref="H7:H15" si="0">F7*G7</f>
        <v>1300</v>
      </c>
      <c r="I7" s="26">
        <v>38763</v>
      </c>
    </row>
    <row r="8" spans="2:9" ht="14.25">
      <c r="B8" s="25">
        <v>2001</v>
      </c>
      <c r="C8" s="18" t="s">
        <v>72</v>
      </c>
      <c r="D8" s="18" t="s">
        <v>56</v>
      </c>
      <c r="E8" s="12" t="s">
        <v>73</v>
      </c>
      <c r="F8" s="19">
        <v>80</v>
      </c>
      <c r="G8" s="19">
        <v>50</v>
      </c>
      <c r="H8" s="19">
        <f t="shared" si="0"/>
        <v>4000</v>
      </c>
      <c r="I8" s="26">
        <v>38751</v>
      </c>
    </row>
    <row r="9" spans="2:9" ht="14.25">
      <c r="B9" s="25">
        <v>2003</v>
      </c>
      <c r="C9" s="18" t="s">
        <v>74</v>
      </c>
      <c r="D9" s="18" t="s">
        <v>53</v>
      </c>
      <c r="E9" s="12" t="s">
        <v>71</v>
      </c>
      <c r="F9" s="19">
        <v>130</v>
      </c>
      <c r="G9" s="19">
        <v>10</v>
      </c>
      <c r="H9" s="19">
        <f t="shared" si="0"/>
        <v>1300</v>
      </c>
      <c r="I9" s="26">
        <v>38748</v>
      </c>
    </row>
    <row r="10" spans="2:9" ht="14.25">
      <c r="B10" s="25">
        <v>2005</v>
      </c>
      <c r="C10" s="18" t="s">
        <v>74</v>
      </c>
      <c r="D10" s="18" t="s">
        <v>56</v>
      </c>
      <c r="E10" s="12" t="s">
        <v>73</v>
      </c>
      <c r="F10" s="19">
        <v>80</v>
      </c>
      <c r="G10" s="19">
        <v>100</v>
      </c>
      <c r="H10" s="19">
        <f t="shared" si="0"/>
        <v>8000</v>
      </c>
      <c r="I10" s="26">
        <v>38758</v>
      </c>
    </row>
    <row r="11" spans="2:9" ht="14.25">
      <c r="B11" s="25">
        <v>3001</v>
      </c>
      <c r="C11" s="18" t="s">
        <v>59</v>
      </c>
      <c r="D11" s="18" t="s">
        <v>53</v>
      </c>
      <c r="E11" s="12" t="s">
        <v>71</v>
      </c>
      <c r="F11" s="19">
        <v>130</v>
      </c>
      <c r="G11" s="19">
        <v>20</v>
      </c>
      <c r="H11" s="19">
        <f t="shared" si="0"/>
        <v>2600</v>
      </c>
      <c r="I11" s="26">
        <v>38763</v>
      </c>
    </row>
    <row r="12" spans="2:9" ht="14.25">
      <c r="B12" s="25">
        <v>3015</v>
      </c>
      <c r="C12" s="18" t="s">
        <v>59</v>
      </c>
      <c r="D12" s="18" t="s">
        <v>60</v>
      </c>
      <c r="E12" s="12" t="s">
        <v>61</v>
      </c>
      <c r="F12" s="19">
        <v>210</v>
      </c>
      <c r="G12" s="19">
        <v>30</v>
      </c>
      <c r="H12" s="19">
        <f t="shared" si="0"/>
        <v>6300</v>
      </c>
      <c r="I12" s="26">
        <v>38763</v>
      </c>
    </row>
    <row r="13" spans="2:9" ht="14.25">
      <c r="B13" s="25">
        <v>3003</v>
      </c>
      <c r="C13" s="18" t="s">
        <v>62</v>
      </c>
      <c r="D13" s="18" t="s">
        <v>63</v>
      </c>
      <c r="E13" s="12" t="s">
        <v>64</v>
      </c>
      <c r="F13" s="19">
        <v>150</v>
      </c>
      <c r="G13" s="19">
        <v>15</v>
      </c>
      <c r="H13" s="19">
        <f t="shared" si="0"/>
        <v>2250</v>
      </c>
      <c r="I13" s="26">
        <v>38777</v>
      </c>
    </row>
    <row r="14" spans="2:9" ht="14.25">
      <c r="B14" s="25">
        <v>3004</v>
      </c>
      <c r="C14" s="18" t="s">
        <v>65</v>
      </c>
      <c r="D14" s="18" t="s">
        <v>66</v>
      </c>
      <c r="E14" s="12" t="s">
        <v>67</v>
      </c>
      <c r="F14" s="19">
        <v>100</v>
      </c>
      <c r="G14" s="19">
        <v>20</v>
      </c>
      <c r="H14" s="19">
        <f t="shared" si="0"/>
        <v>2000</v>
      </c>
      <c r="I14" s="26">
        <v>38776</v>
      </c>
    </row>
    <row r="15" spans="2:9" ht="15" thickBot="1">
      <c r="B15" s="8">
        <v>3005</v>
      </c>
      <c r="C15" s="22" t="s">
        <v>68</v>
      </c>
      <c r="D15" s="22" t="s">
        <v>69</v>
      </c>
      <c r="E15" s="14" t="s">
        <v>75</v>
      </c>
      <c r="F15" s="23">
        <v>90</v>
      </c>
      <c r="G15" s="23">
        <v>50</v>
      </c>
      <c r="H15" s="23">
        <f t="shared" si="0"/>
        <v>4500</v>
      </c>
      <c r="I15" s="27">
        <v>38766</v>
      </c>
    </row>
  </sheetData>
  <autoFilter ref="B5:I15"/>
  <phoneticPr fontId="3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utoFilterSample3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I17"/>
  <sheetViews>
    <sheetView workbookViewId="0"/>
  </sheetViews>
  <sheetFormatPr defaultRowHeight="12.75"/>
  <cols>
    <col min="1" max="1" width="3.625" style="1" customWidth="1"/>
    <col min="2" max="2" width="5.5" style="1" bestFit="1" customWidth="1"/>
    <col min="3" max="3" width="8" style="1" bestFit="1" customWidth="1"/>
    <col min="4" max="4" width="12.5" style="1" bestFit="1" customWidth="1"/>
    <col min="5" max="5" width="10.125" style="1" bestFit="1" customWidth="1"/>
    <col min="6" max="7" width="6.25" style="1" bestFit="1" customWidth="1"/>
    <col min="8" max="8" width="7.875" style="1" bestFit="1" customWidth="1"/>
    <col min="9" max="9" width="8" style="1" bestFit="1" customWidth="1"/>
    <col min="10" max="16384" width="9" style="1"/>
  </cols>
  <sheetData>
    <row r="1" spans="2:9" ht="13.5" thickBot="1"/>
    <row r="2" spans="2:9" ht="14.25">
      <c r="C2" s="6" t="s">
        <v>0</v>
      </c>
      <c r="D2" s="10" t="s">
        <v>4</v>
      </c>
      <c r="E2" s="7" t="s">
        <v>4</v>
      </c>
    </row>
    <row r="3" spans="2:9" ht="14.25">
      <c r="C3" s="11" t="s">
        <v>1</v>
      </c>
      <c r="D3" s="12"/>
      <c r="E3" s="13"/>
    </row>
    <row r="4" spans="2:9" ht="13.5" thickBot="1">
      <c r="C4" s="8"/>
      <c r="D4" s="14" t="s">
        <v>5</v>
      </c>
      <c r="E4" s="9" t="s">
        <v>6</v>
      </c>
    </row>
    <row r="6" spans="2:9" ht="13.5" thickBot="1"/>
    <row r="7" spans="2:9" ht="14.25">
      <c r="B7" s="15" t="s">
        <v>43</v>
      </c>
      <c r="C7" s="16" t="s">
        <v>0</v>
      </c>
      <c r="D7" s="16" t="s">
        <v>44</v>
      </c>
      <c r="E7" s="16" t="s">
        <v>45</v>
      </c>
      <c r="F7" s="16" t="s">
        <v>46</v>
      </c>
      <c r="G7" s="16" t="s">
        <v>47</v>
      </c>
      <c r="H7" s="16" t="s">
        <v>48</v>
      </c>
      <c r="I7" s="17" t="s">
        <v>4</v>
      </c>
    </row>
    <row r="8" spans="2:9" ht="14.25">
      <c r="B8" s="25">
        <v>1001</v>
      </c>
      <c r="C8" s="18" t="s">
        <v>49</v>
      </c>
      <c r="D8" s="18" t="s">
        <v>50</v>
      </c>
      <c r="E8" s="12" t="s">
        <v>51</v>
      </c>
      <c r="F8" s="19">
        <v>210</v>
      </c>
      <c r="G8" s="19">
        <v>20</v>
      </c>
      <c r="H8" s="19">
        <f>F8*G8</f>
        <v>4200</v>
      </c>
      <c r="I8" s="26">
        <v>38753</v>
      </c>
    </row>
    <row r="9" spans="2:9" ht="14.25">
      <c r="B9" s="25">
        <v>1015</v>
      </c>
      <c r="C9" s="18" t="s">
        <v>52</v>
      </c>
      <c r="D9" s="18" t="s">
        <v>53</v>
      </c>
      <c r="E9" s="12" t="s">
        <v>54</v>
      </c>
      <c r="F9" s="19">
        <v>130</v>
      </c>
      <c r="G9" s="19">
        <v>10</v>
      </c>
      <c r="H9" s="19">
        <f t="shared" ref="H9:H17" si="0">F9*G9</f>
        <v>1300</v>
      </c>
      <c r="I9" s="26">
        <v>38763</v>
      </c>
    </row>
    <row r="10" spans="2:9" ht="14.25">
      <c r="B10" s="25">
        <v>2001</v>
      </c>
      <c r="C10" s="18" t="s">
        <v>55</v>
      </c>
      <c r="D10" s="18" t="s">
        <v>56</v>
      </c>
      <c r="E10" s="12" t="s">
        <v>57</v>
      </c>
      <c r="F10" s="19">
        <v>80</v>
      </c>
      <c r="G10" s="19">
        <v>50</v>
      </c>
      <c r="H10" s="19">
        <f t="shared" si="0"/>
        <v>4000</v>
      </c>
      <c r="I10" s="26">
        <v>38751</v>
      </c>
    </row>
    <row r="11" spans="2:9" ht="14.25">
      <c r="B11" s="25">
        <v>2003</v>
      </c>
      <c r="C11" s="18" t="s">
        <v>58</v>
      </c>
      <c r="D11" s="18" t="s">
        <v>53</v>
      </c>
      <c r="E11" s="12" t="s">
        <v>54</v>
      </c>
      <c r="F11" s="19">
        <v>130</v>
      </c>
      <c r="G11" s="19">
        <v>10</v>
      </c>
      <c r="H11" s="19">
        <f t="shared" si="0"/>
        <v>1300</v>
      </c>
      <c r="I11" s="26">
        <v>38748</v>
      </c>
    </row>
    <row r="12" spans="2:9" ht="14.25">
      <c r="B12" s="25">
        <v>2005</v>
      </c>
      <c r="C12" s="18" t="s">
        <v>58</v>
      </c>
      <c r="D12" s="18" t="s">
        <v>56</v>
      </c>
      <c r="E12" s="12" t="s">
        <v>57</v>
      </c>
      <c r="F12" s="19">
        <v>80</v>
      </c>
      <c r="G12" s="19">
        <v>100</v>
      </c>
      <c r="H12" s="19">
        <f t="shared" si="0"/>
        <v>8000</v>
      </c>
      <c r="I12" s="26">
        <v>38758</v>
      </c>
    </row>
    <row r="13" spans="2:9" ht="14.25">
      <c r="B13" s="25">
        <v>3001</v>
      </c>
      <c r="C13" s="18" t="s">
        <v>59</v>
      </c>
      <c r="D13" s="18" t="s">
        <v>53</v>
      </c>
      <c r="E13" s="12" t="s">
        <v>54</v>
      </c>
      <c r="F13" s="19">
        <v>130</v>
      </c>
      <c r="G13" s="19">
        <v>20</v>
      </c>
      <c r="H13" s="19">
        <f t="shared" si="0"/>
        <v>2600</v>
      </c>
      <c r="I13" s="26">
        <v>38763</v>
      </c>
    </row>
    <row r="14" spans="2:9" ht="14.25">
      <c r="B14" s="25">
        <v>3015</v>
      </c>
      <c r="C14" s="18" t="s">
        <v>59</v>
      </c>
      <c r="D14" s="18" t="s">
        <v>60</v>
      </c>
      <c r="E14" s="12" t="s">
        <v>61</v>
      </c>
      <c r="F14" s="19">
        <v>210</v>
      </c>
      <c r="G14" s="19">
        <v>30</v>
      </c>
      <c r="H14" s="19">
        <f t="shared" si="0"/>
        <v>6300</v>
      </c>
      <c r="I14" s="26">
        <v>38763</v>
      </c>
    </row>
    <row r="15" spans="2:9" ht="14.25">
      <c r="B15" s="25">
        <v>3003</v>
      </c>
      <c r="C15" s="18" t="s">
        <v>62</v>
      </c>
      <c r="D15" s="18" t="s">
        <v>63</v>
      </c>
      <c r="E15" s="12" t="s">
        <v>64</v>
      </c>
      <c r="F15" s="19">
        <v>150</v>
      </c>
      <c r="G15" s="19">
        <v>15</v>
      </c>
      <c r="H15" s="19">
        <f t="shared" si="0"/>
        <v>2250</v>
      </c>
      <c r="I15" s="26">
        <v>38777</v>
      </c>
    </row>
    <row r="16" spans="2:9" ht="14.25">
      <c r="B16" s="25">
        <v>3004</v>
      </c>
      <c r="C16" s="18" t="s">
        <v>65</v>
      </c>
      <c r="D16" s="18" t="s">
        <v>66</v>
      </c>
      <c r="E16" s="12" t="s">
        <v>67</v>
      </c>
      <c r="F16" s="19">
        <v>100</v>
      </c>
      <c r="G16" s="19">
        <v>20</v>
      </c>
      <c r="H16" s="19">
        <f t="shared" si="0"/>
        <v>2000</v>
      </c>
      <c r="I16" s="26">
        <v>38776</v>
      </c>
    </row>
    <row r="17" spans="2:9" ht="15" thickBot="1">
      <c r="B17" s="8">
        <v>3005</v>
      </c>
      <c r="C17" s="22" t="s">
        <v>68</v>
      </c>
      <c r="D17" s="22" t="s">
        <v>69</v>
      </c>
      <c r="E17" s="14" t="s">
        <v>70</v>
      </c>
      <c r="F17" s="23">
        <v>90</v>
      </c>
      <c r="G17" s="23">
        <v>50</v>
      </c>
      <c r="H17" s="23">
        <f t="shared" si="0"/>
        <v>4500</v>
      </c>
      <c r="I17" s="27">
        <v>38766</v>
      </c>
    </row>
  </sheetData>
  <phoneticPr fontId="4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vancedFilterSample1">
                <anchor moveWithCells="1" sizeWithCells="1">
                  <from>
                    <xdr:col>5</xdr:col>
                    <xdr:colOff>333375</xdr:colOff>
                    <xdr:row>0</xdr:row>
                    <xdr:rowOff>0</xdr:rowOff>
                  </from>
                  <to>
                    <xdr:col>9</xdr:col>
                    <xdr:colOff>228600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dvancedFilterSample2">
                <anchor moveWithCells="1" sizeWithCells="1">
                  <from>
                    <xdr:col>9</xdr:col>
                    <xdr:colOff>228600</xdr:colOff>
                    <xdr:row>0</xdr:row>
                    <xdr:rowOff>0</xdr:rowOff>
                  </from>
                  <to>
                    <xdr:col>11</xdr:col>
                    <xdr:colOff>542925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setList">
                <anchor moveWithCells="1" siz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3</xdr:col>
                    <xdr:colOff>390525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.75"/>
  <cols>
    <col min="1" max="16384" width="9" style="28"/>
  </cols>
  <sheetData/>
  <phoneticPr fontId="2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J26"/>
  <sheetViews>
    <sheetView workbookViewId="0"/>
  </sheetViews>
  <sheetFormatPr defaultRowHeight="12.75"/>
  <cols>
    <col min="1" max="1" width="3.625" style="1" customWidth="1"/>
    <col min="2" max="2" width="5.5" style="1" bestFit="1" customWidth="1"/>
    <col min="3" max="3" width="13.125" style="1" bestFit="1" customWidth="1"/>
    <col min="4" max="4" width="12.5" style="1" bestFit="1" customWidth="1"/>
    <col min="5" max="5" width="10.125" style="1" bestFit="1" customWidth="1"/>
    <col min="6" max="7" width="6.25" style="1" bestFit="1" customWidth="1"/>
    <col min="8" max="8" width="7.875" style="1" bestFit="1" customWidth="1"/>
    <col min="9" max="9" width="8" style="1" bestFit="1" customWidth="1"/>
    <col min="10" max="16384" width="9" style="1"/>
  </cols>
  <sheetData>
    <row r="1" spans="2:9" ht="14.25">
      <c r="C1" s="2" t="s">
        <v>0</v>
      </c>
    </row>
    <row r="2" spans="2:9" ht="14.25">
      <c r="C2" s="3" t="s">
        <v>1</v>
      </c>
    </row>
    <row r="3" spans="2:9" ht="14.25">
      <c r="C3" s="3" t="s">
        <v>2</v>
      </c>
    </row>
    <row r="4" spans="2:9" ht="15" thickBot="1">
      <c r="C4" s="4" t="s">
        <v>3</v>
      </c>
    </row>
    <row r="5" spans="2:9" ht="13.5" thickBot="1">
      <c r="C5" s="5"/>
    </row>
    <row r="6" spans="2:9" ht="14.25">
      <c r="C6" s="6" t="s">
        <v>4</v>
      </c>
      <c r="D6" s="7" t="s">
        <v>4</v>
      </c>
    </row>
    <row r="7" spans="2:9" ht="13.5" thickBot="1">
      <c r="C7" s="8" t="s">
        <v>5</v>
      </c>
      <c r="D7" s="9" t="s">
        <v>6</v>
      </c>
    </row>
    <row r="8" spans="2:9">
      <c r="C8" s="5"/>
      <c r="D8" s="5"/>
    </row>
    <row r="9" spans="2:9">
      <c r="C9" s="5"/>
      <c r="D9" s="5"/>
    </row>
    <row r="10" spans="2:9" ht="13.5" thickBot="1"/>
    <row r="11" spans="2:9" ht="14.25">
      <c r="C11" s="6" t="s">
        <v>0</v>
      </c>
      <c r="D11" s="10" t="s">
        <v>4</v>
      </c>
      <c r="E11" s="7" t="s">
        <v>4</v>
      </c>
    </row>
    <row r="12" spans="2:9" ht="14.25">
      <c r="C12" s="11" t="s">
        <v>1</v>
      </c>
      <c r="D12" s="12"/>
      <c r="E12" s="13"/>
    </row>
    <row r="13" spans="2:9" ht="13.5" thickBot="1">
      <c r="C13" s="8"/>
      <c r="D13" s="14" t="s">
        <v>5</v>
      </c>
      <c r="E13" s="9" t="s">
        <v>6</v>
      </c>
    </row>
    <row r="15" spans="2:9" ht="13.5" thickBot="1"/>
    <row r="16" spans="2:9" ht="14.25">
      <c r="B16" s="15" t="s">
        <v>7</v>
      </c>
      <c r="C16" s="16" t="s">
        <v>76</v>
      </c>
      <c r="D16" s="16" t="s">
        <v>8</v>
      </c>
      <c r="E16" s="16" t="s">
        <v>9</v>
      </c>
      <c r="F16" s="16" t="s">
        <v>10</v>
      </c>
      <c r="G16" s="16" t="s">
        <v>11</v>
      </c>
      <c r="H16" s="16" t="s">
        <v>12</v>
      </c>
      <c r="I16" s="17" t="s">
        <v>13</v>
      </c>
    </row>
    <row r="17" spans="2:10" ht="14.25">
      <c r="B17" s="25">
        <v>1001</v>
      </c>
      <c r="C17" s="18" t="s">
        <v>14</v>
      </c>
      <c r="D17" s="18" t="s">
        <v>15</v>
      </c>
      <c r="E17" s="12" t="s">
        <v>16</v>
      </c>
      <c r="F17" s="19">
        <v>210</v>
      </c>
      <c r="G17" s="19">
        <v>20</v>
      </c>
      <c r="H17" s="19">
        <v>4200</v>
      </c>
      <c r="I17" s="20" t="s">
        <v>17</v>
      </c>
    </row>
    <row r="18" spans="2:10" ht="14.25">
      <c r="B18" s="25">
        <v>1015</v>
      </c>
      <c r="C18" s="18" t="s">
        <v>18</v>
      </c>
      <c r="D18" s="18" t="s">
        <v>19</v>
      </c>
      <c r="E18" s="12" t="s">
        <v>20</v>
      </c>
      <c r="F18" s="19">
        <v>130</v>
      </c>
      <c r="G18" s="19">
        <v>10</v>
      </c>
      <c r="H18" s="19">
        <v>1300</v>
      </c>
      <c r="I18" s="20" t="s">
        <v>21</v>
      </c>
    </row>
    <row r="19" spans="2:10" ht="14.25">
      <c r="B19" s="25">
        <v>2001</v>
      </c>
      <c r="C19" s="18" t="s">
        <v>22</v>
      </c>
      <c r="D19" s="18" t="s">
        <v>23</v>
      </c>
      <c r="E19" s="12" t="s">
        <v>24</v>
      </c>
      <c r="F19" s="19">
        <v>80</v>
      </c>
      <c r="G19" s="19">
        <v>50</v>
      </c>
      <c r="H19" s="19">
        <v>4000</v>
      </c>
      <c r="I19" s="20" t="s">
        <v>25</v>
      </c>
    </row>
    <row r="20" spans="2:10" ht="14.25">
      <c r="B20" s="25">
        <v>2003</v>
      </c>
      <c r="C20" s="18" t="s">
        <v>26</v>
      </c>
      <c r="D20" s="18" t="s">
        <v>19</v>
      </c>
      <c r="E20" s="12" t="s">
        <v>20</v>
      </c>
      <c r="F20" s="19">
        <v>130</v>
      </c>
      <c r="G20" s="19">
        <v>10</v>
      </c>
      <c r="H20" s="19">
        <v>1300</v>
      </c>
      <c r="I20" s="20" t="s">
        <v>27</v>
      </c>
    </row>
    <row r="21" spans="2:10" ht="14.25">
      <c r="B21" s="25">
        <v>2005</v>
      </c>
      <c r="C21" s="18" t="s">
        <v>26</v>
      </c>
      <c r="D21" s="18" t="s">
        <v>23</v>
      </c>
      <c r="E21" s="12" t="s">
        <v>24</v>
      </c>
      <c r="F21" s="19">
        <v>80</v>
      </c>
      <c r="G21" s="19">
        <v>100</v>
      </c>
      <c r="H21" s="19">
        <v>8000</v>
      </c>
      <c r="I21" s="20" t="s">
        <v>28</v>
      </c>
      <c r="J21" s="21"/>
    </row>
    <row r="22" spans="2:10" ht="14.25">
      <c r="B22" s="25">
        <v>3001</v>
      </c>
      <c r="C22" s="18" t="s">
        <v>29</v>
      </c>
      <c r="D22" s="18" t="s">
        <v>19</v>
      </c>
      <c r="E22" s="12" t="s">
        <v>20</v>
      </c>
      <c r="F22" s="19">
        <v>130</v>
      </c>
      <c r="G22" s="19">
        <v>20</v>
      </c>
      <c r="H22" s="19">
        <v>2600</v>
      </c>
      <c r="I22" s="20" t="s">
        <v>21</v>
      </c>
    </row>
    <row r="23" spans="2:10" ht="14.25">
      <c r="B23" s="25">
        <v>3015</v>
      </c>
      <c r="C23" s="18" t="s">
        <v>29</v>
      </c>
      <c r="D23" s="18" t="s">
        <v>15</v>
      </c>
      <c r="E23" s="12" t="s">
        <v>30</v>
      </c>
      <c r="F23" s="19">
        <v>210</v>
      </c>
      <c r="G23" s="19">
        <v>30</v>
      </c>
      <c r="H23" s="19">
        <v>6300</v>
      </c>
      <c r="I23" s="20" t="s">
        <v>21</v>
      </c>
    </row>
    <row r="24" spans="2:10" ht="14.25">
      <c r="B24" s="25">
        <v>3003</v>
      </c>
      <c r="C24" s="18" t="s">
        <v>31</v>
      </c>
      <c r="D24" s="18" t="s">
        <v>32</v>
      </c>
      <c r="E24" s="12" t="s">
        <v>33</v>
      </c>
      <c r="F24" s="19">
        <v>150</v>
      </c>
      <c r="G24" s="19">
        <v>15</v>
      </c>
      <c r="H24" s="19">
        <v>2250</v>
      </c>
      <c r="I24" s="20" t="s">
        <v>34</v>
      </c>
    </row>
    <row r="25" spans="2:10" ht="14.25">
      <c r="B25" s="25">
        <v>3004</v>
      </c>
      <c r="C25" s="18" t="s">
        <v>35</v>
      </c>
      <c r="D25" s="18" t="s">
        <v>36</v>
      </c>
      <c r="E25" s="12" t="s">
        <v>37</v>
      </c>
      <c r="F25" s="19">
        <v>100</v>
      </c>
      <c r="G25" s="19">
        <v>20</v>
      </c>
      <c r="H25" s="19">
        <v>2000</v>
      </c>
      <c r="I25" s="20" t="s">
        <v>38</v>
      </c>
    </row>
    <row r="26" spans="2:10" ht="15" thickBot="1">
      <c r="B26" s="8">
        <v>3005</v>
      </c>
      <c r="C26" s="22" t="s">
        <v>39</v>
      </c>
      <c r="D26" s="22" t="s">
        <v>40</v>
      </c>
      <c r="E26" s="14" t="s">
        <v>41</v>
      </c>
      <c r="F26" s="23">
        <v>90</v>
      </c>
      <c r="G26" s="23">
        <v>50</v>
      </c>
      <c r="H26" s="23">
        <v>4500</v>
      </c>
      <c r="I26" s="24" t="s">
        <v>42</v>
      </c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自動篩選</vt:lpstr>
      <vt:lpstr>篩選尾碼</vt:lpstr>
      <vt:lpstr>設定進階篩選</vt:lpstr>
      <vt:lpstr>篩選結果</vt:lpstr>
      <vt:lpstr>進階篩選－條件</vt:lpstr>
      <vt:lpstr>設定進階篩選!Criteria</vt:lpstr>
      <vt:lpstr>'進階篩選－條件'!Criteria</vt:lpstr>
      <vt:lpstr>篩選結果!Extract</vt:lpstr>
      <vt:lpstr>設定進階篩選!條件範圍</vt:lpstr>
      <vt:lpstr>設定進階篩選!傳票</vt:lpstr>
      <vt:lpstr>'進階篩選－條件'!傳票</vt:lpstr>
      <vt:lpstr>篩選尾碼!傳票</vt:lpstr>
      <vt:lpstr>傳票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10章-1</dc:title>
  <dc:creator>大村あつし</dc:creator>
  <dc:description>譯者：梁銘鼎</dc:description>
  <cp:lastModifiedBy>Aaron</cp:lastModifiedBy>
  <dcterms:created xsi:type="dcterms:W3CDTF">1997-01-14T01:50:29Z</dcterms:created>
  <dcterms:modified xsi:type="dcterms:W3CDTF">2021-03-22T18:52:50Z</dcterms:modified>
</cp:coreProperties>
</file>