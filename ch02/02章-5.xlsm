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F_BOOK\E_BOOK_VBA\VBA_ADV\ch02\"/>
    </mc:Choice>
  </mc:AlternateContent>
  <xr:revisionPtr revIDLastSave="0" documentId="8_{4018D5E4-99CE-4718-B549-D23511C9FFE5}" xr6:coauthVersionLast="46" xr6:coauthVersionMax="46" xr10:uidLastSave="{00000000-0000-0000-0000-000000000000}"/>
  <bookViews>
    <workbookView xWindow="6645" yWindow="1935" windowWidth="21600" windowHeight="11385"/>
  </bookViews>
  <sheets>
    <sheet name="銷售輸入" sheetId="2" r:id="rId1"/>
    <sheet name="客戶" sheetId="4" r:id="rId2"/>
    <sheet name="商品" sheetId="5" r:id="rId3"/>
  </sheets>
  <definedNames>
    <definedName name="客戶編號">客戶!$A$1:$A$31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2" l="1"/>
  <c r="G9" i="2"/>
  <c r="G12" i="2" s="1"/>
  <c r="G10" i="2"/>
  <c r="G11" i="2"/>
  <c r="G13" i="2" l="1"/>
  <c r="G14" i="2" s="1"/>
</calcChain>
</file>

<file path=xl/sharedStrings.xml><?xml version="1.0" encoding="utf-8"?>
<sst xmlns="http://schemas.openxmlformats.org/spreadsheetml/2006/main" count="275" uniqueCount="218">
  <si>
    <t>TEL</t>
  </si>
  <si>
    <t>FAX</t>
  </si>
  <si>
    <t>A002</t>
  </si>
  <si>
    <t>A003</t>
  </si>
  <si>
    <t>A004</t>
  </si>
  <si>
    <t>A005</t>
  </si>
  <si>
    <t>A006</t>
  </si>
  <si>
    <t>A007</t>
  </si>
  <si>
    <t>B002</t>
  </si>
  <si>
    <t>B003</t>
  </si>
  <si>
    <t>B004</t>
  </si>
  <si>
    <t>B005</t>
  </si>
  <si>
    <t>B006</t>
  </si>
  <si>
    <t>C002</t>
  </si>
  <si>
    <t>C003</t>
  </si>
  <si>
    <t>C004</t>
  </si>
  <si>
    <t>C005</t>
  </si>
  <si>
    <t>C006</t>
  </si>
  <si>
    <t>C007</t>
  </si>
  <si>
    <t>D002</t>
  </si>
  <si>
    <t>D003</t>
  </si>
  <si>
    <t>D004</t>
  </si>
  <si>
    <t>D005</t>
  </si>
  <si>
    <t>D006</t>
  </si>
  <si>
    <t>D007</t>
  </si>
  <si>
    <t>E002</t>
  </si>
  <si>
    <t>E003</t>
  </si>
  <si>
    <t>E004</t>
  </si>
  <si>
    <t>E005</t>
  </si>
  <si>
    <t>E006</t>
  </si>
  <si>
    <t>E007</t>
  </si>
  <si>
    <t>A001</t>
  </si>
  <si>
    <t>PC-9831Xa14</t>
  </si>
  <si>
    <t>PC-9831Xa15</t>
  </si>
  <si>
    <t>PC-9831Xa16</t>
  </si>
  <si>
    <t>B007</t>
  </si>
  <si>
    <t>D001</t>
  </si>
  <si>
    <t>E001</t>
  </si>
  <si>
    <t>單價</t>
    <rPh sb="0" eb="2">
      <t>タンカ</t>
    </rPh>
    <phoneticPr fontId="3"/>
  </si>
  <si>
    <t>數量</t>
    <rPh sb="0" eb="2">
      <t>スウリョウ</t>
    </rPh>
    <phoneticPr fontId="3"/>
  </si>
  <si>
    <t>總　計</t>
    <rPh sb="0" eb="3">
      <t>キンガク</t>
    </rPh>
    <phoneticPr fontId="3"/>
  </si>
  <si>
    <t>北道系統</t>
    <rPh sb="0" eb="2">
      <t>エスケイホッカイドウ</t>
    </rPh>
    <phoneticPr fontId="3"/>
  </si>
  <si>
    <t>台北市南京東路三段</t>
    <rPh sb="0" eb="9">
      <t>００４シタノ</t>
    </rPh>
    <phoneticPr fontId="3"/>
  </si>
  <si>
    <t>台北市延吉街</t>
    <rPh sb="0" eb="6">
      <t>９８１ー３１チュウオウ</t>
    </rPh>
    <phoneticPr fontId="3"/>
  </si>
  <si>
    <t>日電開發</t>
    <rPh sb="0" eb="2">
      <t>ニホン</t>
    </rPh>
    <rPh sb="2" eb="4">
      <t>デンシカイハツ</t>
    </rPh>
    <phoneticPr fontId="3"/>
  </si>
  <si>
    <t>台北市松江路</t>
    <rPh sb="0" eb="6">
      <t>９８０イチバンチョウ</t>
    </rPh>
    <phoneticPr fontId="3"/>
  </si>
  <si>
    <t>索理技研</t>
    <rPh sb="0" eb="4">
      <t>ギジュツケンキュウショ</t>
    </rPh>
    <phoneticPr fontId="3"/>
  </si>
  <si>
    <t>台北縣三重市重新路</t>
    <rPh sb="0" eb="6">
      <t>９４０ナカジマ</t>
    </rPh>
    <phoneticPr fontId="3"/>
  </si>
  <si>
    <t>日行通訊</t>
    <rPh sb="0" eb="2">
      <t>ニホン</t>
    </rPh>
    <rPh sb="2" eb="4">
      <t>コウギョウツウシン</t>
    </rPh>
    <phoneticPr fontId="3"/>
  </si>
  <si>
    <t>台北市敦化南路二段</t>
    <rPh sb="0" eb="6">
      <t>０３０</t>
    </rPh>
    <rPh sb="6" eb="8">
      <t>カナハマ</t>
    </rPh>
    <phoneticPr fontId="3"/>
  </si>
  <si>
    <t>台北市中山北路二段</t>
    <rPh sb="0" eb="6">
      <t>９９０</t>
    </rPh>
    <rPh sb="6" eb="8">
      <t>アオタ</t>
    </rPh>
    <phoneticPr fontId="3"/>
  </si>
  <si>
    <t>鼎運資訊</t>
    <rPh sb="0" eb="2">
      <t>ピーシー</t>
    </rPh>
    <phoneticPr fontId="3"/>
  </si>
  <si>
    <t>台北縣新店市寶橋路</t>
    <rPh sb="0" eb="6">
      <t>９６０</t>
    </rPh>
    <rPh sb="6" eb="8">
      <t>ナリカワ</t>
    </rPh>
    <phoneticPr fontId="3"/>
  </si>
  <si>
    <t>台北市忠誠路二段</t>
    <rPh sb="0" eb="5">
      <t>１０８</t>
    </rPh>
    <rPh sb="5" eb="6">
      <t>シバ</t>
    </rPh>
    <phoneticPr fontId="3"/>
  </si>
  <si>
    <t>亦禧軟體</t>
    <rPh sb="0" eb="3">
      <t>エムイーシージョウホウ</t>
    </rPh>
    <phoneticPr fontId="3"/>
  </si>
  <si>
    <t>台北市羅斯福路三段</t>
    <rPh sb="0" eb="6">
      <t>１５３</t>
    </rPh>
    <rPh sb="6" eb="8">
      <t>シタメ</t>
    </rPh>
    <rPh sb="8" eb="9">
      <t>グロ</t>
    </rPh>
    <phoneticPr fontId="3"/>
  </si>
  <si>
    <t>英資通信部</t>
    <rPh sb="3" eb="5">
      <t>ジョウホウジギョウブ</t>
    </rPh>
    <phoneticPr fontId="3"/>
  </si>
  <si>
    <t>高雄市楠梓區後勁南路</t>
    <rPh sb="0" eb="7">
      <t>２７５</t>
    </rPh>
    <rPh sb="7" eb="9">
      <t>アカネハマ</t>
    </rPh>
    <phoneticPr fontId="3"/>
  </si>
  <si>
    <t>四谷商行</t>
    <rPh sb="0" eb="2">
      <t>ヨツヤ</t>
    </rPh>
    <rPh sb="2" eb="4">
      <t>ショウジ</t>
    </rPh>
    <phoneticPr fontId="3"/>
  </si>
  <si>
    <t>A</t>
    <phoneticPr fontId="0"/>
  </si>
  <si>
    <t>台北市汀州路</t>
    <rPh sb="0" eb="6">
      <t>２１０ニッシンチョウ</t>
    </rPh>
    <phoneticPr fontId="3"/>
  </si>
  <si>
    <t>富通電腦</t>
    <rPh sb="0" eb="3">
      <t>フジツウ</t>
    </rPh>
    <phoneticPr fontId="3"/>
  </si>
  <si>
    <t>台北市仁愛路四段</t>
    <rPh sb="0" eb="6">
      <t>３３１サクラギチョウ</t>
    </rPh>
    <phoneticPr fontId="3"/>
  </si>
  <si>
    <t>高雄市苓雅區海邊路</t>
    <rPh sb="0" eb="6">
      <t>３１０</t>
    </rPh>
    <rPh sb="6" eb="8">
      <t>アカツカ</t>
    </rPh>
    <phoneticPr fontId="3"/>
  </si>
  <si>
    <t>安金機器</t>
    <rPh sb="0" eb="1">
      <t>ア</t>
    </rPh>
    <rPh sb="1" eb="2">
      <t>ガネ</t>
    </rPh>
    <rPh sb="2" eb="4">
      <t>デンサンキキ</t>
    </rPh>
    <phoneticPr fontId="3"/>
  </si>
  <si>
    <t>台北市內瑞湖街</t>
    <rPh sb="0" eb="7">
      <t>２１３サカト</t>
    </rPh>
    <phoneticPr fontId="3"/>
  </si>
  <si>
    <t>士系牙科</t>
    <rPh sb="0" eb="2">
      <t>フジ</t>
    </rPh>
    <phoneticPr fontId="3"/>
  </si>
  <si>
    <t>帕帕斯電腦</t>
    <rPh sb="0" eb="5">
      <t>ピーシージギョウブ</t>
    </rPh>
    <phoneticPr fontId="3"/>
  </si>
  <si>
    <t>台北市南京東路二段</t>
    <rPh sb="0" eb="6">
      <t>３８６ー１２</t>
    </rPh>
    <rPh sb="6" eb="8">
      <t>オオアザ</t>
    </rPh>
    <rPh sb="8" eb="9">
      <t>シモユキゴウオツ</t>
    </rPh>
    <phoneticPr fontId="3"/>
  </si>
  <si>
    <t>通丸生技</t>
    <rPh sb="0" eb="2">
      <t>フジショウジ</t>
    </rPh>
    <phoneticPr fontId="3"/>
  </si>
  <si>
    <t>台北市中山北路二段</t>
    <rPh sb="0" eb="9">
      <t>６０４チョウクスリトオカラスマル</t>
    </rPh>
    <phoneticPr fontId="3"/>
  </si>
  <si>
    <t>梨田運通</t>
    <rPh sb="0" eb="2">
      <t>イデ</t>
    </rPh>
    <rPh sb="2" eb="4">
      <t>ソウコ</t>
    </rPh>
    <phoneticPr fontId="3"/>
  </si>
  <si>
    <t>台北市重慶南路一段</t>
    <rPh sb="0" eb="6">
      <t>４００</t>
    </rPh>
    <rPh sb="6" eb="8">
      <t>イイダ</t>
    </rPh>
    <phoneticPr fontId="3"/>
  </si>
  <si>
    <t>南紀顧問</t>
    <rPh sb="0" eb="2">
      <t>ナンキ</t>
    </rPh>
    <phoneticPr fontId="3"/>
  </si>
  <si>
    <t>台北縣新店市北新路三段</t>
    <rPh sb="0" eb="10">
      <t>６４４</t>
    </rPh>
    <phoneticPr fontId="3"/>
  </si>
  <si>
    <t>本通軟體</t>
    <rPh sb="0" eb="2">
      <t>カンサイエムイーシー</t>
    </rPh>
    <phoneticPr fontId="3"/>
  </si>
  <si>
    <t>台北縣泰山鄉文程路</t>
    <rPh sb="0" eb="6">
      <t>５７０</t>
    </rPh>
    <rPh sb="6" eb="7">
      <t>キョウ</t>
    </rPh>
    <rPh sb="7" eb="8">
      <t>サカ</t>
    </rPh>
    <rPh sb="8" eb="9">
      <t>ホンツウ</t>
    </rPh>
    <phoneticPr fontId="3"/>
  </si>
  <si>
    <t>名屋客服</t>
    <rPh sb="0" eb="2">
      <t>メイテツ</t>
    </rPh>
    <phoneticPr fontId="3"/>
  </si>
  <si>
    <t>台北市復興北路</t>
    <rPh sb="0" eb="7">
      <t>４５０メイエキミナミ</t>
    </rPh>
    <phoneticPr fontId="3"/>
  </si>
  <si>
    <t>迪克電機</t>
    <rPh sb="0" eb="2">
      <t>オギワラ</t>
    </rPh>
    <rPh sb="2" eb="4">
      <t>デンキ</t>
    </rPh>
    <phoneticPr fontId="3"/>
  </si>
  <si>
    <t>南投市中興新村府西路</t>
    <rPh sb="0" eb="8">
      <t>７３０テッポウマチ</t>
    </rPh>
    <phoneticPr fontId="3"/>
  </si>
  <si>
    <t>松西軟體研究中心</t>
    <rPh sb="0" eb="2">
      <t>マツシタ</t>
    </rPh>
    <rPh sb="5" eb="7">
      <t>カイハツ</t>
    </rPh>
    <phoneticPr fontId="3"/>
  </si>
  <si>
    <t>台北市南京東路三段</t>
    <rPh sb="0" eb="6">
      <t>７７０</t>
    </rPh>
    <rPh sb="6" eb="8">
      <t>テラシマホンチョウニシ</t>
    </rPh>
    <phoneticPr fontId="3"/>
  </si>
  <si>
    <t>本成國際</t>
    <rPh sb="0" eb="2">
      <t>ニホン</t>
    </rPh>
    <rPh sb="2" eb="4">
      <t>ショウジ</t>
    </rPh>
    <phoneticPr fontId="3"/>
  </si>
  <si>
    <t>台北市忠孝東路四段</t>
    <rPh sb="0" eb="6">
      <t>７００</t>
    </rPh>
    <rPh sb="6" eb="8">
      <t>トヨナリ</t>
    </rPh>
    <phoneticPr fontId="3"/>
  </si>
  <si>
    <t>台北縣新店市寶橋路</t>
    <rPh sb="0" eb="9">
      <t>６８０アメタキ</t>
    </rPh>
    <phoneticPr fontId="3"/>
  </si>
  <si>
    <t>台北市東興路</t>
    <rPh sb="0" eb="6">
      <t>７５４エザキ</t>
    </rPh>
    <phoneticPr fontId="3"/>
  </si>
  <si>
    <t>金田物產</t>
    <rPh sb="0" eb="2">
      <t>タカギ</t>
    </rPh>
    <rPh sb="2" eb="4">
      <t>サンギョウ</t>
    </rPh>
    <phoneticPr fontId="3"/>
  </si>
  <si>
    <t>台北市南京東路二段</t>
    <rPh sb="0" eb="6">
      <t>７９１</t>
    </rPh>
    <rPh sb="6" eb="8">
      <t>アイヅ</t>
    </rPh>
    <rPh sb="8" eb="9">
      <t>チョウ</t>
    </rPh>
    <phoneticPr fontId="3"/>
  </si>
  <si>
    <t>台北市敦化北路</t>
    <rPh sb="0" eb="6">
      <t>７８０</t>
    </rPh>
    <rPh sb="6" eb="7">
      <t>イケ</t>
    </rPh>
    <phoneticPr fontId="3"/>
  </si>
  <si>
    <t>台北市信義路五段</t>
    <rPh sb="0" eb="8">
      <t>８１２ハカタエキマエ</t>
    </rPh>
    <phoneticPr fontId="3"/>
  </si>
  <si>
    <t>福多顧問</t>
    <rPh sb="0" eb="2">
      <t>フクオカ</t>
    </rPh>
    <phoneticPr fontId="3"/>
  </si>
  <si>
    <t>桃園縣中壢市遠東路</t>
    <rPh sb="0" eb="9">
      <t>８１２ハカタエキマエ</t>
    </rPh>
    <phoneticPr fontId="3"/>
  </si>
  <si>
    <t>Laser Printer LBP-150</t>
  </si>
  <si>
    <t>Laser Printer LBP-250</t>
  </si>
  <si>
    <t>Laser Printer LBP-350</t>
  </si>
  <si>
    <t>Laser Printer LBP-450</t>
  </si>
  <si>
    <t>Jet Printer BJC-240JII</t>
  </si>
  <si>
    <t>Jet Printer BJC-340JW</t>
  </si>
  <si>
    <t>Jet Printer BJC-650JS</t>
  </si>
  <si>
    <t>Display MT-8615B</t>
  </si>
  <si>
    <t>Display MT-8615BS</t>
  </si>
  <si>
    <t>Display MT-8617B</t>
  </si>
  <si>
    <t>Display MT-8617BS</t>
  </si>
  <si>
    <t>Display MT-8621B</t>
  </si>
  <si>
    <t>CD ROM MON-S230PF</t>
  </si>
  <si>
    <t>CD ROM MON-D230</t>
  </si>
  <si>
    <t>CD ROM MOS-S640PF</t>
  </si>
  <si>
    <t>Page Scanner LSC-300CL</t>
  </si>
  <si>
    <t>Page Scanner LSC-300CX</t>
  </si>
  <si>
    <t>File Scanner LPR-150CL</t>
  </si>
  <si>
    <t>Graphic WGP-VG2DX</t>
  </si>
  <si>
    <t>Graphic WGP-VG4DX</t>
  </si>
  <si>
    <t>編號</t>
    <phoneticPr fontId="0"/>
  </si>
  <si>
    <t>客戶名稱</t>
    <phoneticPr fontId="0"/>
  </si>
  <si>
    <t>交易等級</t>
    <phoneticPr fontId="0"/>
  </si>
  <si>
    <t>郵遞區號</t>
    <phoneticPr fontId="0"/>
  </si>
  <si>
    <t>地址</t>
    <phoneticPr fontId="0"/>
  </si>
  <si>
    <t>A001</t>
    <phoneticPr fontId="5"/>
  </si>
  <si>
    <t>C</t>
    <phoneticPr fontId="0"/>
  </si>
  <si>
    <t>02-6388-XXXX</t>
    <phoneticPr fontId="3"/>
  </si>
  <si>
    <t>比優系統工程</t>
    <phoneticPr fontId="5"/>
  </si>
  <si>
    <t>B</t>
    <phoneticPr fontId="0"/>
  </si>
  <si>
    <t>02-285-XXXX</t>
    <phoneticPr fontId="0"/>
  </si>
  <si>
    <t>A</t>
    <phoneticPr fontId="0"/>
  </si>
  <si>
    <t>02-255-XXXX</t>
    <phoneticPr fontId="0"/>
  </si>
  <si>
    <t>02-3633-XXXX</t>
    <phoneticPr fontId="3"/>
  </si>
  <si>
    <t>E</t>
    <phoneticPr fontId="0"/>
  </si>
  <si>
    <t>02-2352-XXXX</t>
    <phoneticPr fontId="3"/>
  </si>
  <si>
    <t>瑞克資訊</t>
    <phoneticPr fontId="3"/>
  </si>
  <si>
    <t>E</t>
    <phoneticPr fontId="0"/>
  </si>
  <si>
    <t>02-6144-XXXX</t>
    <phoneticPr fontId="3"/>
  </si>
  <si>
    <t>F</t>
    <phoneticPr fontId="0"/>
  </si>
  <si>
    <t>02-2486-XXXX</t>
    <phoneticPr fontId="3"/>
  </si>
  <si>
    <t>B001</t>
    <phoneticPr fontId="3"/>
  </si>
  <si>
    <t>可貝爾系統</t>
    <phoneticPr fontId="3"/>
  </si>
  <si>
    <t>D</t>
    <phoneticPr fontId="0"/>
  </si>
  <si>
    <t>02-3555-XXXX</t>
    <phoneticPr fontId="3"/>
  </si>
  <si>
    <t>B</t>
    <phoneticPr fontId="0"/>
  </si>
  <si>
    <t>02-2736-XXXX</t>
    <phoneticPr fontId="3"/>
  </si>
  <si>
    <t>02-2851-XXXX</t>
    <phoneticPr fontId="3"/>
  </si>
  <si>
    <t>A</t>
    <phoneticPr fontId="0"/>
  </si>
  <si>
    <t>02-8345-XXXX</t>
    <phoneticPr fontId="3"/>
  </si>
  <si>
    <t>B</t>
    <phoneticPr fontId="0"/>
  </si>
  <si>
    <t>02-6301-XXXX</t>
    <phoneticPr fontId="3"/>
  </si>
  <si>
    <t>理優國際</t>
    <phoneticPr fontId="3"/>
  </si>
  <si>
    <t>D</t>
    <phoneticPr fontId="0"/>
  </si>
  <si>
    <t>07-8951-XXXX</t>
    <phoneticPr fontId="3"/>
  </si>
  <si>
    <t>B007</t>
    <phoneticPr fontId="3"/>
  </si>
  <si>
    <t>C</t>
    <phoneticPr fontId="0"/>
  </si>
  <si>
    <t>02-2161-XXXX</t>
    <phoneticPr fontId="3"/>
  </si>
  <si>
    <t>C001</t>
    <phoneticPr fontId="3"/>
  </si>
  <si>
    <t>C</t>
    <phoneticPr fontId="0"/>
  </si>
  <si>
    <t>台北市民生東路五段</t>
    <phoneticPr fontId="0"/>
  </si>
  <si>
    <t>02-2652-XXXX</t>
    <phoneticPr fontId="3"/>
  </si>
  <si>
    <t>02-2461-XXXX</t>
    <phoneticPr fontId="3"/>
  </si>
  <si>
    <t>02-7651-XXXX</t>
    <phoneticPr fontId="3"/>
  </si>
  <si>
    <t>F</t>
    <phoneticPr fontId="0"/>
  </si>
  <si>
    <t>02-4336-XXXX</t>
    <phoneticPr fontId="3"/>
  </si>
  <si>
    <t>A</t>
    <phoneticPr fontId="0"/>
  </si>
  <si>
    <t>02-6536-XXXX</t>
    <phoneticPr fontId="3"/>
  </si>
  <si>
    <t>D</t>
    <phoneticPr fontId="0"/>
  </si>
  <si>
    <t>02-8516-XXXX</t>
    <phoneticPr fontId="3"/>
  </si>
  <si>
    <t>D</t>
    <phoneticPr fontId="0"/>
  </si>
  <si>
    <t>02-5002-XXXX</t>
    <phoneticPr fontId="3"/>
  </si>
  <si>
    <t>D001</t>
    <phoneticPr fontId="3"/>
  </si>
  <si>
    <t>C</t>
    <phoneticPr fontId="0"/>
  </si>
  <si>
    <t>049-581-XXXX</t>
    <phoneticPr fontId="3"/>
  </si>
  <si>
    <t>D</t>
    <phoneticPr fontId="0"/>
  </si>
  <si>
    <t>02-6494-XXXX</t>
    <phoneticPr fontId="3"/>
  </si>
  <si>
    <t>02-5662-XXXX</t>
    <phoneticPr fontId="3"/>
  </si>
  <si>
    <t>國隆印刷</t>
    <phoneticPr fontId="3"/>
  </si>
  <si>
    <t>A</t>
    <phoneticPr fontId="0"/>
  </si>
  <si>
    <t>02-2545-XXXX</t>
    <phoneticPr fontId="3"/>
  </si>
  <si>
    <t>卡內爾中心</t>
    <phoneticPr fontId="3"/>
  </si>
  <si>
    <t>B</t>
    <phoneticPr fontId="0"/>
  </si>
  <si>
    <t>02-5188-XXXX</t>
    <phoneticPr fontId="3"/>
  </si>
  <si>
    <t>C</t>
    <phoneticPr fontId="0"/>
  </si>
  <si>
    <t>02-3696-XXXX</t>
    <phoneticPr fontId="3"/>
  </si>
  <si>
    <t>可池資訊</t>
    <phoneticPr fontId="3"/>
  </si>
  <si>
    <t>E</t>
    <phoneticPr fontId="0"/>
  </si>
  <si>
    <t>02-3621-XXXX</t>
    <phoneticPr fontId="3"/>
  </si>
  <si>
    <t>E001</t>
    <phoneticPr fontId="3"/>
  </si>
  <si>
    <t>博可書局</t>
    <phoneticPr fontId="3"/>
  </si>
  <si>
    <t>F</t>
    <phoneticPr fontId="0"/>
  </si>
  <si>
    <t>02-2351-XXXX</t>
    <phoneticPr fontId="3"/>
  </si>
  <si>
    <t>A</t>
    <phoneticPr fontId="0"/>
  </si>
  <si>
    <t>03-435-XXXX</t>
    <phoneticPr fontId="3"/>
  </si>
  <si>
    <t>銷售記錄</t>
    <phoneticPr fontId="3"/>
  </si>
  <si>
    <t>傳票編號</t>
    <phoneticPr fontId="3"/>
  </si>
  <si>
    <t>日期</t>
    <phoneticPr fontId="3"/>
  </si>
  <si>
    <t>金額</t>
    <phoneticPr fontId="3"/>
  </si>
  <si>
    <t>備註</t>
    <phoneticPr fontId="3"/>
  </si>
  <si>
    <t>未稅價</t>
    <phoneticPr fontId="3"/>
  </si>
  <si>
    <t>營業稅</t>
    <phoneticPr fontId="3"/>
  </si>
  <si>
    <t>編號</t>
    <phoneticPr fontId="6"/>
  </si>
  <si>
    <t>商品名稱</t>
    <phoneticPr fontId="6"/>
  </si>
  <si>
    <t>銷售價格</t>
    <phoneticPr fontId="6"/>
  </si>
  <si>
    <t>PC-9831Xa13</t>
    <phoneticPr fontId="7"/>
  </si>
  <si>
    <t>ThinkPad500A</t>
    <phoneticPr fontId="7"/>
  </si>
  <si>
    <t>ThinkPad600B</t>
    <phoneticPr fontId="7"/>
  </si>
  <si>
    <t>ThinkPad700C</t>
    <phoneticPr fontId="7"/>
  </si>
  <si>
    <t>B001</t>
    <phoneticPr fontId="7"/>
  </si>
  <si>
    <t>C001</t>
    <phoneticPr fontId="7"/>
  </si>
  <si>
    <t>LCD Display LP-1000</t>
    <phoneticPr fontId="7"/>
  </si>
  <si>
    <t>LCD Display LP-2000</t>
    <phoneticPr fontId="7"/>
  </si>
  <si>
    <t>ZIP LJD-100V</t>
    <phoneticPr fontId="7"/>
  </si>
  <si>
    <t>ZIP LZD-100V2</t>
    <phoneticPr fontId="7"/>
  </si>
  <si>
    <t>PD LPD-650SA</t>
    <phoneticPr fontId="7"/>
  </si>
  <si>
    <t>CD ROM MOS-D640</t>
    <phoneticPr fontId="7"/>
  </si>
  <si>
    <t>CCD Camera CVU-T25</t>
    <phoneticPr fontId="6"/>
  </si>
  <si>
    <t>Speaker TGP-VR4</t>
    <phoneticPr fontId="7"/>
  </si>
  <si>
    <t>客戶編號</t>
    <phoneticPr fontId="3"/>
  </si>
  <si>
    <t>客戶名稱</t>
    <phoneticPr fontId="3"/>
  </si>
  <si>
    <t>編號</t>
    <phoneticPr fontId="3"/>
  </si>
  <si>
    <t>品項</t>
    <phoneticPr fontId="3"/>
  </si>
  <si>
    <t>商品名稱</t>
    <phoneticPr fontId="3"/>
  </si>
  <si>
    <t>D</t>
    <phoneticPr fontId="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</si>
</sst>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96" formatCode="#,##0_ "/>
    <numFmt numFmtId="197" formatCode="#,##0_ ;[Red]\-#,##0\ "/>
  </numFmts>
  <fonts count="19">
    <font>
      <sz val="11"/>
      <name val="ＭＳ Ｐゴシック"/>
      <family val="2"/>
      <charset val="128"/>
    </font>
    <font>
      <sz val="11"/>
      <name val="ＭＳ Ｐゴシック"/>
      <family val="2"/>
      <charset val="128"/>
    </font>
    <font>
      <sz val="11"/>
      <name val="明朝"/>
      <family val="1"/>
      <charset val="128"/>
    </font>
    <font>
      <sz val="6"/>
      <name val="ＭＳ Ｐゴシック"/>
      <family val="2"/>
      <charset val="128"/>
    </font>
    <font>
      <sz val="12"/>
      <name val="Osaka"/>
      <family val="3"/>
      <charset val="128"/>
    </font>
    <font>
      <sz val="9"/>
      <name val="ＭＳ 明朝"/>
      <family val="3"/>
      <charset val="128"/>
    </font>
    <font>
      <sz val="10"/>
      <name val="ＭＳ 明朝"/>
      <family val="3"/>
      <charset val="128"/>
    </font>
    <font>
      <b/>
      <i/>
      <sz val="20"/>
      <name val="ＭＳ ゴシック"/>
      <family val="3"/>
      <charset val="128"/>
    </font>
    <font>
      <sz val="11"/>
      <name val="Verdana"/>
      <family val="2"/>
    </font>
    <font>
      <b/>
      <i/>
      <sz val="20"/>
      <name val="Verdana"/>
      <family val="2"/>
    </font>
    <font>
      <b/>
      <sz val="20"/>
      <color indexed="12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color indexed="9"/>
      <name val="Verdana"/>
      <family val="2"/>
    </font>
    <font>
      <sz val="10"/>
      <name val="Verdana"/>
      <family val="2"/>
    </font>
    <font>
      <sz val="12"/>
      <name val="Verdana"/>
      <family val="2"/>
    </font>
    <font>
      <sz val="9"/>
      <name val="Verdana"/>
      <family val="2"/>
    </font>
    <font>
      <sz val="12"/>
      <color indexed="9"/>
      <name val="Verdana"/>
      <family val="2"/>
    </font>
    <font>
      <sz val="10"/>
      <color indexed="9"/>
      <name val="新細明體"/>
      <family val="1"/>
      <charset val="136"/>
    </font>
    <font>
      <sz val="10"/>
      <name val="新細明體"/>
      <family val="1"/>
      <charset val="136"/>
    </font>
  </fonts>
  <fills count="4">
    <fill>
      <patternFill patternType="none"/>
    </fill>
    <fill>
      <patternFill patternType="gray125"/>
    </fill>
    <fill>
      <patternFill patternType="solid">
        <fgColor indexed="12"/>
        <bgColor indexed="64"/>
      </patternFill>
    </fill>
    <fill>
      <patternFill patternType="solid">
        <fgColor indexed="15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9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38" fontId="1" fillId="0" borderId="0" applyFont="0" applyFill="0" applyBorder="0" applyAlignment="0" applyProtection="0"/>
    <xf numFmtId="0" fontId="4" fillId="0" borderId="0"/>
    <xf numFmtId="0" fontId="2" fillId="0" borderId="0"/>
    <xf numFmtId="0" fontId="2" fillId="0" borderId="0"/>
  </cellStyleXfs>
  <cellXfs count="64">
    <xf numFmtId="0" fontId="0" fillId="0" borderId="0" xfId="0"/>
    <xf numFmtId="0" fontId="8" fillId="0" borderId="0" xfId="4" applyFont="1"/>
    <xf numFmtId="0" fontId="9" fillId="0" borderId="0" xfId="4" applyFont="1"/>
    <xf numFmtId="0" fontId="10" fillId="0" borderId="0" xfId="4" applyFont="1"/>
    <xf numFmtId="0" fontId="11" fillId="2" borderId="1" xfId="4" applyFont="1" applyFill="1" applyBorder="1" applyAlignment="1" applyProtection="1">
      <alignment horizontal="centerContinuous"/>
    </xf>
    <xf numFmtId="0" fontId="12" fillId="2" borderId="2" xfId="4" applyFont="1" applyFill="1" applyBorder="1" applyAlignment="1" applyProtection="1">
      <alignment horizontal="centerContinuous"/>
    </xf>
    <xf numFmtId="0" fontId="13" fillId="0" borderId="3" xfId="4" applyFont="1" applyFill="1" applyBorder="1" applyAlignment="1" applyProtection="1"/>
    <xf numFmtId="0" fontId="11" fillId="2" borderId="4" xfId="4" applyFont="1" applyFill="1" applyBorder="1" applyAlignment="1" applyProtection="1">
      <alignment horizontal="center"/>
    </xf>
    <xf numFmtId="57" fontId="13" fillId="3" borderId="3" xfId="4" applyNumberFormat="1" applyFont="1" applyFill="1" applyBorder="1" applyAlignment="1" applyProtection="1">
      <alignment horizontal="centerContinuous"/>
      <protection locked="0"/>
    </xf>
    <xf numFmtId="57" fontId="13" fillId="3" borderId="5" xfId="4" applyNumberFormat="1" applyFont="1" applyFill="1" applyBorder="1" applyAlignment="1" applyProtection="1">
      <alignment horizontal="centerContinuous" vertical="center"/>
    </xf>
    <xf numFmtId="49" fontId="13" fillId="3" borderId="6" xfId="4" applyNumberFormat="1" applyFont="1" applyFill="1" applyBorder="1" applyAlignment="1" applyProtection="1">
      <protection locked="0"/>
    </xf>
    <xf numFmtId="0" fontId="11" fillId="2" borderId="4" xfId="4" applyFont="1" applyFill="1" applyBorder="1" applyAlignment="1" applyProtection="1">
      <alignment horizontal="centerContinuous"/>
    </xf>
    <xf numFmtId="49" fontId="13" fillId="0" borderId="3" xfId="4" applyNumberFormat="1" applyFont="1" applyFill="1" applyBorder="1" applyAlignment="1" applyProtection="1">
      <alignment vertical="center"/>
    </xf>
    <xf numFmtId="0" fontId="13" fillId="0" borderId="3" xfId="4" applyFont="1" applyFill="1" applyBorder="1" applyAlignment="1" applyProtection="1">
      <alignment vertical="center"/>
    </xf>
    <xf numFmtId="0" fontId="13" fillId="0" borderId="5" xfId="4" applyFont="1" applyFill="1" applyBorder="1" applyAlignment="1" applyProtection="1">
      <alignment vertical="center"/>
    </xf>
    <xf numFmtId="0" fontId="11" fillId="2" borderId="7" xfId="4" applyFont="1" applyFill="1" applyBorder="1" applyAlignment="1" applyProtection="1">
      <alignment horizontal="center" vertical="center"/>
    </xf>
    <xf numFmtId="0" fontId="11" fillId="2" borderId="8" xfId="4" applyFont="1" applyFill="1" applyBorder="1" applyAlignment="1" applyProtection="1">
      <alignment horizontal="center" vertical="center"/>
    </xf>
    <xf numFmtId="0" fontId="11" fillId="2" borderId="8" xfId="4" applyFont="1" applyFill="1" applyBorder="1" applyAlignment="1" applyProtection="1">
      <alignment horizontal="centerContinuous" vertical="center"/>
    </xf>
    <xf numFmtId="0" fontId="11" fillId="2" borderId="9" xfId="4" applyFont="1" applyFill="1" applyBorder="1" applyAlignment="1" applyProtection="1">
      <alignment horizontal="center" vertical="center"/>
    </xf>
    <xf numFmtId="0" fontId="14" fillId="0" borderId="10" xfId="4" applyFont="1" applyFill="1" applyBorder="1" applyAlignment="1" applyProtection="1">
      <alignment horizontal="center"/>
    </xf>
    <xf numFmtId="49" fontId="13" fillId="3" borderId="11" xfId="4" applyNumberFormat="1" applyFont="1" applyFill="1" applyBorder="1" applyAlignment="1" applyProtection="1">
      <protection locked="0"/>
    </xf>
    <xf numFmtId="49" fontId="13" fillId="0" borderId="11" xfId="4" applyNumberFormat="1" applyFont="1" applyFill="1" applyBorder="1" applyAlignment="1" applyProtection="1"/>
    <xf numFmtId="197" fontId="13" fillId="3" borderId="11" xfId="4" applyNumberFormat="1" applyFont="1" applyFill="1" applyBorder="1" applyAlignment="1" applyProtection="1">
      <protection locked="0"/>
    </xf>
    <xf numFmtId="197" fontId="13" fillId="0" borderId="11" xfId="4" applyNumberFormat="1" applyFont="1" applyFill="1" applyBorder="1" applyAlignment="1" applyProtection="1"/>
    <xf numFmtId="49" fontId="15" fillId="3" borderId="12" xfId="4" applyNumberFormat="1" applyFont="1" applyFill="1" applyBorder="1" applyAlignment="1" applyProtection="1">
      <protection locked="0"/>
    </xf>
    <xf numFmtId="49" fontId="13" fillId="0" borderId="13" xfId="4" applyNumberFormat="1" applyFont="1" applyFill="1" applyBorder="1" applyAlignment="1" applyProtection="1"/>
    <xf numFmtId="0" fontId="14" fillId="0" borderId="14" xfId="4" applyFont="1" applyFill="1" applyBorder="1" applyAlignment="1" applyProtection="1">
      <alignment horizontal="center"/>
    </xf>
    <xf numFmtId="49" fontId="13" fillId="3" borderId="15" xfId="4" applyNumberFormat="1" applyFont="1" applyFill="1" applyBorder="1" applyAlignment="1" applyProtection="1">
      <protection locked="0"/>
    </xf>
    <xf numFmtId="49" fontId="13" fillId="0" borderId="15" xfId="4" applyNumberFormat="1" applyFont="1" applyFill="1" applyBorder="1" applyAlignment="1" applyProtection="1"/>
    <xf numFmtId="197" fontId="13" fillId="3" borderId="16" xfId="4" applyNumberFormat="1" applyFont="1" applyFill="1" applyBorder="1" applyAlignment="1" applyProtection="1">
      <protection locked="0"/>
    </xf>
    <xf numFmtId="197" fontId="13" fillId="3" borderId="17" xfId="4" applyNumberFormat="1" applyFont="1" applyFill="1" applyBorder="1" applyAlignment="1" applyProtection="1">
      <protection locked="0"/>
    </xf>
    <xf numFmtId="49" fontId="15" fillId="3" borderId="18" xfId="4" applyNumberFormat="1" applyFont="1" applyFill="1" applyBorder="1" applyAlignment="1" applyProtection="1">
      <protection locked="0"/>
    </xf>
    <xf numFmtId="0" fontId="8" fillId="0" borderId="0" xfId="4" applyNumberFormat="1" applyFont="1"/>
    <xf numFmtId="0" fontId="8" fillId="0" borderId="0" xfId="4" applyNumberFormat="1" applyFont="1" applyBorder="1"/>
    <xf numFmtId="0" fontId="11" fillId="2" borderId="19" xfId="4" applyFont="1" applyFill="1" applyBorder="1" applyAlignment="1" applyProtection="1">
      <alignment horizontal="centerContinuous" vertical="center"/>
    </xf>
    <xf numFmtId="0" fontId="16" fillId="2" borderId="20" xfId="4" applyFont="1" applyFill="1" applyBorder="1" applyAlignment="1" applyProtection="1">
      <alignment horizontal="centerContinuous" vertical="center"/>
    </xf>
    <xf numFmtId="197" fontId="13" fillId="0" borderId="21" xfId="4" applyNumberFormat="1" applyFont="1" applyFill="1" applyBorder="1" applyAlignment="1" applyProtection="1"/>
    <xf numFmtId="0" fontId="11" fillId="2" borderId="22" xfId="4" applyFont="1" applyFill="1" applyBorder="1" applyAlignment="1" applyProtection="1">
      <alignment horizontal="centerContinuous" vertical="center"/>
    </xf>
    <xf numFmtId="0" fontId="16" fillId="2" borderId="0" xfId="4" applyFont="1" applyFill="1" applyBorder="1" applyAlignment="1" applyProtection="1">
      <alignment horizontal="centerContinuous" vertical="center"/>
    </xf>
    <xf numFmtId="197" fontId="13" fillId="0" borderId="12" xfId="4" applyNumberFormat="1" applyFont="1" applyFill="1" applyBorder="1" applyAlignment="1" applyProtection="1"/>
    <xf numFmtId="0" fontId="11" fillId="2" borderId="14" xfId="4" applyFont="1" applyFill="1" applyBorder="1" applyAlignment="1" applyProtection="1">
      <alignment horizontal="centerContinuous" vertical="center"/>
    </xf>
    <xf numFmtId="0" fontId="16" fillId="2" borderId="16" xfId="4" applyFont="1" applyFill="1" applyBorder="1" applyAlignment="1" applyProtection="1">
      <alignment horizontal="centerContinuous" vertical="center"/>
    </xf>
    <xf numFmtId="197" fontId="13" fillId="0" borderId="18" xfId="4" applyNumberFormat="1" applyFont="1" applyFill="1" applyBorder="1" applyAlignment="1" applyProtection="1"/>
    <xf numFmtId="0" fontId="17" fillId="2" borderId="23" xfId="2" applyFont="1" applyFill="1" applyBorder="1" applyAlignment="1" applyProtection="1">
      <alignment horizontal="center" vertical="center"/>
      <protection locked="0"/>
    </xf>
    <xf numFmtId="0" fontId="17" fillId="2" borderId="23" xfId="2" applyNumberFormat="1" applyFont="1" applyFill="1" applyBorder="1" applyAlignment="1" applyProtection="1">
      <alignment horizontal="center" vertical="center"/>
      <protection locked="0"/>
    </xf>
    <xf numFmtId="0" fontId="12" fillId="2" borderId="23" xfId="2" applyFont="1" applyFill="1" applyBorder="1" applyAlignment="1" applyProtection="1">
      <alignment horizontal="center" vertical="center"/>
      <protection locked="0"/>
    </xf>
    <xf numFmtId="0" fontId="13" fillId="0" borderId="0" xfId="0" applyFont="1"/>
    <xf numFmtId="0" fontId="13" fillId="0" borderId="0" xfId="2" applyFont="1" applyFill="1" applyBorder="1" applyAlignment="1" applyProtection="1">
      <alignment horizontal="center"/>
      <protection locked="0"/>
    </xf>
    <xf numFmtId="0" fontId="13" fillId="0" borderId="0" xfId="0" applyNumberFormat="1" applyFont="1"/>
    <xf numFmtId="0" fontId="18" fillId="0" borderId="0" xfId="0" applyFont="1"/>
    <xf numFmtId="0" fontId="13" fillId="0" borderId="0" xfId="2" applyFont="1" applyFill="1" applyBorder="1" applyProtection="1">
      <protection locked="0"/>
    </xf>
    <xf numFmtId="0" fontId="13" fillId="0" borderId="0" xfId="2" applyNumberFormat="1" applyFont="1" applyFill="1" applyBorder="1" applyProtection="1">
      <protection locked="0"/>
    </xf>
    <xf numFmtId="0" fontId="18" fillId="0" borderId="0" xfId="2" applyFont="1" applyFill="1" applyBorder="1" applyProtection="1">
      <protection locked="0"/>
    </xf>
    <xf numFmtId="0" fontId="13" fillId="0" borderId="0" xfId="3" applyFont="1" applyBorder="1"/>
    <xf numFmtId="0" fontId="13" fillId="0" borderId="0" xfId="0" applyFont="1" applyBorder="1"/>
    <xf numFmtId="0" fontId="18" fillId="0" borderId="0" xfId="0" applyFont="1" applyFill="1" applyBorder="1"/>
    <xf numFmtId="0" fontId="13" fillId="0" borderId="0" xfId="3" applyFont="1"/>
    <xf numFmtId="0" fontId="13" fillId="0" borderId="0" xfId="3" applyFont="1" applyAlignment="1">
      <alignment horizont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3" fillId="0" borderId="0" xfId="0" applyFont="1" applyFill="1" applyBorder="1" applyProtection="1">
      <protection locked="0"/>
    </xf>
    <xf numFmtId="3" fontId="13" fillId="0" borderId="0" xfId="0" applyNumberFormat="1" applyFont="1" applyFill="1" applyBorder="1" applyProtection="1">
      <protection locked="0"/>
    </xf>
    <xf numFmtId="196" fontId="13" fillId="0" borderId="0" xfId="0" applyNumberFormat="1" applyFont="1" applyFill="1" applyBorder="1" applyProtection="1">
      <protection locked="0"/>
    </xf>
    <xf numFmtId="196" fontId="13" fillId="0" borderId="0" xfId="1" applyNumberFormat="1" applyFont="1" applyFill="1" applyBorder="1" applyProtection="1">
      <protection locked="0"/>
    </xf>
  </cellXfs>
  <cellStyles count="5">
    <cellStyle name="Comma [0]" xfId="1" builtinId="6"/>
    <cellStyle name="Normal" xfId="0" builtinId="0"/>
    <cellStyle name="標準_KYAKS" xfId="2"/>
    <cellStyle name="標準_売上入力" xfId="4"/>
    <cellStyle name="標準_顧客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B1:H23"/>
  <sheetViews>
    <sheetView showGridLines="0" showZeros="0" tabSelected="1" workbookViewId="0">
      <selection activeCell="D5" sqref="D5"/>
    </sheetView>
  </sheetViews>
  <sheetFormatPr defaultRowHeight="14.25"/>
  <cols>
    <col min="1" max="1" width="1.25" style="1" customWidth="1"/>
    <col min="2" max="2" width="5.5" style="1" bestFit="1" customWidth="1"/>
    <col min="3" max="3" width="5.125" style="1" customWidth="1"/>
    <col min="4" max="4" width="12.75" style="1" customWidth="1"/>
    <col min="5" max="5" width="11.625" style="1" customWidth="1"/>
    <col min="6" max="7" width="9" style="1"/>
    <col min="8" max="8" width="12.625" style="1" customWidth="1"/>
    <col min="9" max="16384" width="9" style="1"/>
  </cols>
  <sheetData>
    <row r="1" spans="2:8" ht="27.75">
      <c r="D1" s="2"/>
      <c r="E1" s="3" t="s">
        <v>188</v>
      </c>
    </row>
    <row r="2" spans="2:8" ht="9.75" customHeight="1" thickBot="1"/>
    <row r="3" spans="2:8" ht="14.25" customHeight="1" thickBot="1">
      <c r="B3" s="4" t="s">
        <v>189</v>
      </c>
      <c r="C3" s="5"/>
      <c r="D3" s="6"/>
      <c r="E3" s="7" t="s">
        <v>190</v>
      </c>
      <c r="F3" s="8"/>
      <c r="G3" s="9"/>
    </row>
    <row r="4" spans="2:8" ht="9.75" customHeight="1" thickBot="1"/>
    <row r="5" spans="2:8" ht="17.25" thickBot="1">
      <c r="B5" s="4" t="s">
        <v>212</v>
      </c>
      <c r="C5" s="5"/>
      <c r="D5" s="10"/>
      <c r="E5" s="11" t="s">
        <v>213</v>
      </c>
      <c r="F5" s="12"/>
      <c r="G5" s="13"/>
      <c r="H5" s="14"/>
    </row>
    <row r="6" spans="2:8" ht="9.75" customHeight="1" thickBot="1"/>
    <row r="7" spans="2:8" ht="14.25" customHeight="1">
      <c r="B7" s="15" t="s">
        <v>214</v>
      </c>
      <c r="C7" s="16" t="s">
        <v>215</v>
      </c>
      <c r="D7" s="17" t="s">
        <v>216</v>
      </c>
      <c r="E7" s="16" t="s">
        <v>38</v>
      </c>
      <c r="F7" s="16" t="s">
        <v>39</v>
      </c>
      <c r="G7" s="16" t="s">
        <v>191</v>
      </c>
      <c r="H7" s="18" t="s">
        <v>192</v>
      </c>
    </row>
    <row r="8" spans="2:8" ht="14.25" customHeight="1">
      <c r="B8" s="19">
        <v>1</v>
      </c>
      <c r="C8" s="20"/>
      <c r="D8" s="21"/>
      <c r="E8" s="22"/>
      <c r="F8" s="22"/>
      <c r="G8" s="23">
        <f>E8*F8</f>
        <v>0</v>
      </c>
      <c r="H8" s="24"/>
    </row>
    <row r="9" spans="2:8" ht="14.25" customHeight="1">
      <c r="B9" s="19">
        <v>2</v>
      </c>
      <c r="C9" s="20"/>
      <c r="D9" s="21"/>
      <c r="E9" s="22"/>
      <c r="F9" s="22"/>
      <c r="G9" s="23">
        <f>E9*F9</f>
        <v>0</v>
      </c>
      <c r="H9" s="24"/>
    </row>
    <row r="10" spans="2:8" ht="14.25" customHeight="1">
      <c r="B10" s="19">
        <v>3</v>
      </c>
      <c r="C10" s="20"/>
      <c r="D10" s="25"/>
      <c r="E10" s="22"/>
      <c r="F10" s="22"/>
      <c r="G10" s="23">
        <f>E10*F10</f>
        <v>0</v>
      </c>
      <c r="H10" s="24"/>
    </row>
    <row r="11" spans="2:8" ht="14.25" customHeight="1" thickBot="1">
      <c r="B11" s="26">
        <v>4</v>
      </c>
      <c r="C11" s="27"/>
      <c r="D11" s="28"/>
      <c r="E11" s="29"/>
      <c r="F11" s="30"/>
      <c r="G11" s="23">
        <f>E11*F11</f>
        <v>0</v>
      </c>
      <c r="H11" s="31"/>
    </row>
    <row r="12" spans="2:8" ht="14.25" customHeight="1">
      <c r="B12" s="32"/>
      <c r="C12" s="32"/>
      <c r="D12" s="33"/>
      <c r="E12" s="34" t="s">
        <v>193</v>
      </c>
      <c r="F12" s="35"/>
      <c r="G12" s="36">
        <f>SUM(G8:G11)</f>
        <v>0</v>
      </c>
      <c r="H12" s="32"/>
    </row>
    <row r="13" spans="2:8" ht="14.25" customHeight="1">
      <c r="E13" s="37" t="s">
        <v>194</v>
      </c>
      <c r="F13" s="38"/>
      <c r="G13" s="39">
        <f>G12*0.05</f>
        <v>0</v>
      </c>
    </row>
    <row r="14" spans="2:8" ht="14.25" customHeight="1" thickBot="1">
      <c r="C14" s="32"/>
      <c r="E14" s="40" t="s">
        <v>40</v>
      </c>
      <c r="F14" s="41"/>
      <c r="G14" s="42">
        <f>SUM(G12:G13)</f>
        <v>0</v>
      </c>
    </row>
    <row r="15" spans="2:8" ht="5.25" customHeight="1"/>
    <row r="16" spans="2:8" ht="15" customHeight="1"/>
    <row r="19" ht="15" customHeight="1"/>
    <row r="20" ht="15" customHeight="1"/>
    <row r="21" ht="15" customHeight="1"/>
    <row r="22" ht="15" customHeight="1"/>
    <row r="23" ht="15" customHeight="1"/>
  </sheetData>
  <phoneticPr fontId="3"/>
  <dataValidations count="5">
    <dataValidation type="whole" imeMode="off" operator="greaterThanOrEqual" allowBlank="1" showInputMessage="1" showErrorMessage="1" errorTitle="数量入力エラー" error="数値を入力してください" sqref="F8:F11">
      <formula1>0</formula1>
    </dataValidation>
    <dataValidation type="date" imeMode="off" operator="greaterThanOrEqual" showInputMessage="1" showErrorMessage="1" errorTitle="日付入力エラー" error="入力した日付は古すぎます" sqref="F3">
      <formula1>35796</formula1>
    </dataValidation>
    <dataValidation type="whole" imeMode="off" operator="greaterThanOrEqual" allowBlank="1" showInputMessage="1" showErrorMessage="1" errorTitle="単価入力エラー" error="数値を入力してください" sqref="E8:E11">
      <formula1>0</formula1>
    </dataValidation>
    <dataValidation imeMode="on" allowBlank="1" showInputMessage="1" showErrorMessage="1" sqref="H8:H11"/>
    <dataValidation imeMode="off" allowBlank="1" showInputMessage="1" showErrorMessage="1" sqref="C8:C11 D5"/>
  </dataValidations>
  <printOptions gridLinesSet="0"/>
  <pageMargins left="0.75" right="0.75" top="1" bottom="1" header="0.5" footer="0.5"/>
  <pageSetup paperSize="9" orientation="portrait" horizontalDpi="4294967293" verticalDpi="160" r:id="rId1"/>
  <headerFooter alignWithMargins="0">
    <oddHeader>&amp;A</oddHeader>
    <oddFooter>- &amp;P -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autoPageBreaks="0"/>
  </sheetPr>
  <dimension ref="A1:G36"/>
  <sheetViews>
    <sheetView showZeros="0" workbookViewId="0">
      <pane ySplit="1" topLeftCell="A2" activePane="bottomLeft" state="frozen"/>
      <selection activeCell="B6" sqref="B6"/>
      <selection pane="bottomLeft" activeCell="A2" sqref="A2"/>
    </sheetView>
  </sheetViews>
  <sheetFormatPr defaultRowHeight="15" customHeight="1"/>
  <cols>
    <col min="1" max="1" width="8" style="56" bestFit="1" customWidth="1"/>
    <col min="2" max="2" width="15" style="56" bestFit="1" customWidth="1"/>
    <col min="3" max="3" width="8.625" style="56" bestFit="1" customWidth="1"/>
    <col min="4" max="4" width="8" style="56" bestFit="1" customWidth="1"/>
    <col min="5" max="5" width="28" style="56" customWidth="1"/>
    <col min="6" max="7" width="14.125" style="56" bestFit="1" customWidth="1"/>
    <col min="8" max="16384" width="9" style="56"/>
  </cols>
  <sheetData>
    <row r="1" spans="1:7" ht="24" customHeight="1">
      <c r="A1" s="43" t="s">
        <v>113</v>
      </c>
      <c r="B1" s="43" t="s">
        <v>114</v>
      </c>
      <c r="C1" s="43" t="s">
        <v>115</v>
      </c>
      <c r="D1" s="44" t="s">
        <v>116</v>
      </c>
      <c r="E1" s="43" t="s">
        <v>117</v>
      </c>
      <c r="F1" s="45" t="s">
        <v>0</v>
      </c>
      <c r="G1" s="45" t="s">
        <v>1</v>
      </c>
    </row>
    <row r="2" spans="1:7" ht="15" customHeight="1">
      <c r="A2" s="46" t="s">
        <v>118</v>
      </c>
      <c r="B2" s="49" t="s">
        <v>41</v>
      </c>
      <c r="C2" s="47" t="s">
        <v>119</v>
      </c>
      <c r="D2" s="48">
        <v>104</v>
      </c>
      <c r="E2" s="49" t="s">
        <v>42</v>
      </c>
      <c r="F2" s="50" t="s">
        <v>120</v>
      </c>
      <c r="G2" s="50" t="s">
        <v>120</v>
      </c>
    </row>
    <row r="3" spans="1:7" ht="15" customHeight="1">
      <c r="A3" s="50" t="s">
        <v>2</v>
      </c>
      <c r="B3" s="49" t="s">
        <v>121</v>
      </c>
      <c r="C3" s="47" t="s">
        <v>122</v>
      </c>
      <c r="D3" s="51">
        <v>104</v>
      </c>
      <c r="E3" s="52" t="s">
        <v>43</v>
      </c>
      <c r="F3" s="50" t="s">
        <v>123</v>
      </c>
      <c r="G3" s="50" t="s">
        <v>123</v>
      </c>
    </row>
    <row r="4" spans="1:7" ht="15" customHeight="1">
      <c r="A4" s="50" t="s">
        <v>3</v>
      </c>
      <c r="B4" s="52" t="s">
        <v>44</v>
      </c>
      <c r="C4" s="47" t="s">
        <v>124</v>
      </c>
      <c r="D4" s="51">
        <v>104</v>
      </c>
      <c r="E4" s="52" t="s">
        <v>45</v>
      </c>
      <c r="F4" s="50" t="s">
        <v>125</v>
      </c>
      <c r="G4" s="50" t="s">
        <v>125</v>
      </c>
    </row>
    <row r="5" spans="1:7" ht="15" customHeight="1">
      <c r="A5" s="50" t="s">
        <v>4</v>
      </c>
      <c r="B5" s="52" t="s">
        <v>46</v>
      </c>
      <c r="C5" s="47" t="s">
        <v>217</v>
      </c>
      <c r="D5" s="51">
        <v>241</v>
      </c>
      <c r="E5" s="52" t="s">
        <v>47</v>
      </c>
      <c r="F5" s="50" t="s">
        <v>126</v>
      </c>
      <c r="G5" s="50" t="s">
        <v>126</v>
      </c>
    </row>
    <row r="6" spans="1:7" ht="15" customHeight="1">
      <c r="A6" s="50" t="s">
        <v>5</v>
      </c>
      <c r="B6" s="52" t="s">
        <v>48</v>
      </c>
      <c r="C6" s="47" t="s">
        <v>127</v>
      </c>
      <c r="D6" s="51">
        <v>106</v>
      </c>
      <c r="E6" s="52" t="s">
        <v>49</v>
      </c>
      <c r="F6" s="53" t="s">
        <v>128</v>
      </c>
      <c r="G6" s="53" t="s">
        <v>128</v>
      </c>
    </row>
    <row r="7" spans="1:7" ht="15" customHeight="1">
      <c r="A7" s="50" t="s">
        <v>6</v>
      </c>
      <c r="B7" s="52" t="s">
        <v>129</v>
      </c>
      <c r="C7" s="47" t="s">
        <v>130</v>
      </c>
      <c r="D7" s="51">
        <v>104</v>
      </c>
      <c r="E7" s="52" t="s">
        <v>50</v>
      </c>
      <c r="F7" s="54" t="s">
        <v>131</v>
      </c>
      <c r="G7" s="54" t="s">
        <v>131</v>
      </c>
    </row>
    <row r="8" spans="1:7" ht="15" customHeight="1">
      <c r="A8" s="50" t="s">
        <v>7</v>
      </c>
      <c r="B8" s="52" t="s">
        <v>51</v>
      </c>
      <c r="C8" s="47" t="s">
        <v>132</v>
      </c>
      <c r="D8" s="51">
        <v>231</v>
      </c>
      <c r="E8" s="52" t="s">
        <v>52</v>
      </c>
      <c r="F8" s="50" t="s">
        <v>133</v>
      </c>
      <c r="G8" s="50" t="s">
        <v>133</v>
      </c>
    </row>
    <row r="9" spans="1:7" ht="15" customHeight="1">
      <c r="A9" s="50" t="s">
        <v>134</v>
      </c>
      <c r="B9" s="52" t="s">
        <v>135</v>
      </c>
      <c r="C9" s="47" t="s">
        <v>136</v>
      </c>
      <c r="D9" s="51">
        <v>111</v>
      </c>
      <c r="E9" s="52" t="s">
        <v>53</v>
      </c>
      <c r="F9" s="50" t="s">
        <v>137</v>
      </c>
      <c r="G9" s="50" t="s">
        <v>137</v>
      </c>
    </row>
    <row r="10" spans="1:7" ht="15" customHeight="1">
      <c r="A10" s="50" t="s">
        <v>8</v>
      </c>
      <c r="B10" s="52" t="s">
        <v>54</v>
      </c>
      <c r="C10" s="47" t="s">
        <v>138</v>
      </c>
      <c r="D10" s="51">
        <v>106</v>
      </c>
      <c r="E10" s="52" t="s">
        <v>55</v>
      </c>
      <c r="F10" s="50" t="s">
        <v>139</v>
      </c>
      <c r="G10" s="50" t="s">
        <v>139</v>
      </c>
    </row>
    <row r="11" spans="1:7" ht="15" customHeight="1">
      <c r="A11" s="50" t="s">
        <v>9</v>
      </c>
      <c r="B11" s="52" t="s">
        <v>56</v>
      </c>
      <c r="C11" s="47" t="s">
        <v>59</v>
      </c>
      <c r="D11" s="51">
        <v>811</v>
      </c>
      <c r="E11" s="52" t="s">
        <v>57</v>
      </c>
      <c r="F11" s="50" t="s">
        <v>140</v>
      </c>
      <c r="G11" s="50" t="s">
        <v>140</v>
      </c>
    </row>
    <row r="12" spans="1:7" ht="15" customHeight="1">
      <c r="A12" s="50" t="s">
        <v>10</v>
      </c>
      <c r="B12" s="52" t="s">
        <v>58</v>
      </c>
      <c r="C12" s="47" t="s">
        <v>141</v>
      </c>
      <c r="D12" s="51">
        <v>100</v>
      </c>
      <c r="E12" s="52" t="s">
        <v>60</v>
      </c>
      <c r="F12" s="50" t="s">
        <v>142</v>
      </c>
      <c r="G12" s="50" t="s">
        <v>142</v>
      </c>
    </row>
    <row r="13" spans="1:7" ht="15" customHeight="1">
      <c r="A13" s="50" t="s">
        <v>11</v>
      </c>
      <c r="B13" s="52" t="s">
        <v>61</v>
      </c>
      <c r="C13" s="47" t="s">
        <v>143</v>
      </c>
      <c r="D13" s="51">
        <v>106</v>
      </c>
      <c r="E13" s="52" t="s">
        <v>62</v>
      </c>
      <c r="F13" s="54" t="s">
        <v>144</v>
      </c>
      <c r="G13" s="54" t="s">
        <v>144</v>
      </c>
    </row>
    <row r="14" spans="1:7" ht="15" customHeight="1">
      <c r="A14" s="50" t="s">
        <v>12</v>
      </c>
      <c r="B14" s="52" t="s">
        <v>145</v>
      </c>
      <c r="C14" s="47" t="s">
        <v>146</v>
      </c>
      <c r="D14" s="51">
        <v>802</v>
      </c>
      <c r="E14" s="52" t="s">
        <v>63</v>
      </c>
      <c r="F14" s="50" t="s">
        <v>147</v>
      </c>
      <c r="G14" s="50" t="s">
        <v>147</v>
      </c>
    </row>
    <row r="15" spans="1:7" ht="15" customHeight="1">
      <c r="A15" s="50" t="s">
        <v>148</v>
      </c>
      <c r="B15" s="52" t="s">
        <v>64</v>
      </c>
      <c r="C15" s="47" t="s">
        <v>149</v>
      </c>
      <c r="D15" s="51">
        <v>114</v>
      </c>
      <c r="E15" s="52" t="s">
        <v>65</v>
      </c>
      <c r="F15" s="54" t="s">
        <v>150</v>
      </c>
      <c r="G15" s="54" t="s">
        <v>150</v>
      </c>
    </row>
    <row r="16" spans="1:7" ht="15" customHeight="1">
      <c r="A16" s="50" t="s">
        <v>151</v>
      </c>
      <c r="B16" s="52" t="s">
        <v>66</v>
      </c>
      <c r="C16" s="47" t="s">
        <v>152</v>
      </c>
      <c r="D16" s="51">
        <v>104</v>
      </c>
      <c r="E16" s="52" t="s">
        <v>153</v>
      </c>
      <c r="F16" s="53" t="s">
        <v>154</v>
      </c>
      <c r="G16" s="53" t="s">
        <v>154</v>
      </c>
    </row>
    <row r="17" spans="1:7" ht="15" customHeight="1">
      <c r="A17" s="50" t="s">
        <v>13</v>
      </c>
      <c r="B17" s="52" t="s">
        <v>67</v>
      </c>
      <c r="C17" s="47" t="s">
        <v>132</v>
      </c>
      <c r="D17" s="51">
        <v>104</v>
      </c>
      <c r="E17" s="52" t="s">
        <v>68</v>
      </c>
      <c r="F17" s="54" t="s">
        <v>155</v>
      </c>
      <c r="G17" s="54" t="s">
        <v>155</v>
      </c>
    </row>
    <row r="18" spans="1:7" ht="15" customHeight="1">
      <c r="A18" s="50" t="s">
        <v>14</v>
      </c>
      <c r="B18" s="52" t="s">
        <v>69</v>
      </c>
      <c r="C18" s="47" t="s">
        <v>152</v>
      </c>
      <c r="D18" s="51">
        <v>111</v>
      </c>
      <c r="E18" s="52" t="s">
        <v>70</v>
      </c>
      <c r="F18" s="50" t="s">
        <v>156</v>
      </c>
      <c r="G18" s="50" t="s">
        <v>156</v>
      </c>
    </row>
    <row r="19" spans="1:7" ht="15" customHeight="1">
      <c r="A19" s="50" t="s">
        <v>15</v>
      </c>
      <c r="B19" s="52" t="s">
        <v>71</v>
      </c>
      <c r="C19" s="47" t="s">
        <v>157</v>
      </c>
      <c r="D19" s="51">
        <v>100</v>
      </c>
      <c r="E19" s="52" t="s">
        <v>72</v>
      </c>
      <c r="F19" s="50" t="s">
        <v>158</v>
      </c>
      <c r="G19" s="50" t="s">
        <v>158</v>
      </c>
    </row>
    <row r="20" spans="1:7" ht="15" customHeight="1">
      <c r="A20" s="50" t="s">
        <v>16</v>
      </c>
      <c r="B20" s="52" t="s">
        <v>73</v>
      </c>
      <c r="C20" s="47" t="s">
        <v>159</v>
      </c>
      <c r="D20" s="51">
        <v>231</v>
      </c>
      <c r="E20" s="52" t="s">
        <v>74</v>
      </c>
      <c r="F20" s="50" t="s">
        <v>160</v>
      </c>
      <c r="G20" s="50" t="s">
        <v>160</v>
      </c>
    </row>
    <row r="21" spans="1:7" ht="15" customHeight="1">
      <c r="A21" s="50" t="s">
        <v>17</v>
      </c>
      <c r="B21" s="52" t="s">
        <v>75</v>
      </c>
      <c r="C21" s="47" t="s">
        <v>161</v>
      </c>
      <c r="D21" s="51">
        <v>243</v>
      </c>
      <c r="E21" s="52" t="s">
        <v>76</v>
      </c>
      <c r="F21" s="50" t="s">
        <v>162</v>
      </c>
      <c r="G21" s="50" t="s">
        <v>162</v>
      </c>
    </row>
    <row r="22" spans="1:7" ht="15" customHeight="1">
      <c r="A22" s="50" t="s">
        <v>18</v>
      </c>
      <c r="B22" s="52" t="s">
        <v>77</v>
      </c>
      <c r="C22" s="47" t="s">
        <v>163</v>
      </c>
      <c r="D22" s="51">
        <v>105</v>
      </c>
      <c r="E22" s="52" t="s">
        <v>78</v>
      </c>
      <c r="F22" s="53" t="s">
        <v>164</v>
      </c>
      <c r="G22" s="53" t="s">
        <v>164</v>
      </c>
    </row>
    <row r="23" spans="1:7" ht="15" customHeight="1">
      <c r="A23" s="50" t="s">
        <v>165</v>
      </c>
      <c r="B23" s="55" t="s">
        <v>79</v>
      </c>
      <c r="C23" s="47" t="s">
        <v>166</v>
      </c>
      <c r="D23" s="51">
        <v>540</v>
      </c>
      <c r="E23" s="52" t="s">
        <v>80</v>
      </c>
      <c r="F23" s="50" t="s">
        <v>167</v>
      </c>
      <c r="G23" s="50" t="s">
        <v>167</v>
      </c>
    </row>
    <row r="24" spans="1:7" ht="15" customHeight="1">
      <c r="A24" s="50" t="s">
        <v>19</v>
      </c>
      <c r="B24" s="52" t="s">
        <v>81</v>
      </c>
      <c r="C24" s="47" t="s">
        <v>168</v>
      </c>
      <c r="D24" s="51">
        <v>104</v>
      </c>
      <c r="E24" s="52" t="s">
        <v>82</v>
      </c>
      <c r="F24" s="50" t="s">
        <v>169</v>
      </c>
      <c r="G24" s="50" t="s">
        <v>169</v>
      </c>
    </row>
    <row r="25" spans="1:7" ht="15" customHeight="1">
      <c r="A25" s="50" t="s">
        <v>20</v>
      </c>
      <c r="B25" s="52" t="s">
        <v>83</v>
      </c>
      <c r="C25" s="47" t="s">
        <v>124</v>
      </c>
      <c r="D25" s="51">
        <v>106</v>
      </c>
      <c r="E25" s="52" t="s">
        <v>84</v>
      </c>
      <c r="F25" s="53" t="s">
        <v>170</v>
      </c>
      <c r="G25" s="53" t="s">
        <v>170</v>
      </c>
    </row>
    <row r="26" spans="1:7" ht="15" customHeight="1">
      <c r="A26" s="50" t="s">
        <v>21</v>
      </c>
      <c r="B26" s="52" t="s">
        <v>171</v>
      </c>
      <c r="C26" s="47" t="s">
        <v>172</v>
      </c>
      <c r="D26" s="51">
        <v>231</v>
      </c>
      <c r="E26" s="52" t="s">
        <v>85</v>
      </c>
      <c r="F26" s="50" t="s">
        <v>173</v>
      </c>
      <c r="G26" s="50" t="s">
        <v>173</v>
      </c>
    </row>
    <row r="27" spans="1:7" ht="15" customHeight="1">
      <c r="A27" s="50" t="s">
        <v>22</v>
      </c>
      <c r="B27" s="52" t="s">
        <v>174</v>
      </c>
      <c r="C27" s="47" t="s">
        <v>175</v>
      </c>
      <c r="D27" s="51">
        <v>110</v>
      </c>
      <c r="E27" s="52" t="s">
        <v>86</v>
      </c>
      <c r="F27" s="50" t="s">
        <v>176</v>
      </c>
      <c r="G27" s="50" t="s">
        <v>176</v>
      </c>
    </row>
    <row r="28" spans="1:7" ht="15" customHeight="1">
      <c r="A28" s="50" t="s">
        <v>23</v>
      </c>
      <c r="B28" s="52" t="s">
        <v>87</v>
      </c>
      <c r="C28" s="47" t="s">
        <v>177</v>
      </c>
      <c r="D28" s="51">
        <v>104</v>
      </c>
      <c r="E28" s="52" t="s">
        <v>88</v>
      </c>
      <c r="F28" s="50" t="s">
        <v>178</v>
      </c>
      <c r="G28" s="50" t="s">
        <v>178</v>
      </c>
    </row>
    <row r="29" spans="1:7" ht="15" customHeight="1">
      <c r="A29" s="50" t="s">
        <v>24</v>
      </c>
      <c r="B29" s="52" t="s">
        <v>179</v>
      </c>
      <c r="C29" s="47" t="s">
        <v>180</v>
      </c>
      <c r="D29" s="51">
        <v>105</v>
      </c>
      <c r="E29" s="52" t="s">
        <v>89</v>
      </c>
      <c r="F29" s="50" t="s">
        <v>181</v>
      </c>
      <c r="G29" s="50" t="s">
        <v>181</v>
      </c>
    </row>
    <row r="30" spans="1:7" ht="15" customHeight="1">
      <c r="A30" s="50" t="s">
        <v>182</v>
      </c>
      <c r="B30" s="49" t="s">
        <v>183</v>
      </c>
      <c r="C30" s="47" t="s">
        <v>184</v>
      </c>
      <c r="D30" s="51">
        <v>110</v>
      </c>
      <c r="E30" s="52" t="s">
        <v>90</v>
      </c>
      <c r="F30" s="50" t="s">
        <v>185</v>
      </c>
      <c r="G30" s="50" t="s">
        <v>185</v>
      </c>
    </row>
    <row r="31" spans="1:7" ht="15" customHeight="1">
      <c r="A31" s="50" t="s">
        <v>25</v>
      </c>
      <c r="B31" s="52" t="s">
        <v>91</v>
      </c>
      <c r="C31" s="47" t="s">
        <v>186</v>
      </c>
      <c r="D31" s="51">
        <v>320</v>
      </c>
      <c r="E31" s="52" t="s">
        <v>92</v>
      </c>
      <c r="F31" s="50" t="s">
        <v>187</v>
      </c>
      <c r="G31" s="50" t="s">
        <v>187</v>
      </c>
    </row>
    <row r="32" spans="1:7" ht="15" customHeight="1">
      <c r="C32" s="57"/>
    </row>
    <row r="33" spans="3:3" ht="15" customHeight="1">
      <c r="C33" s="57"/>
    </row>
    <row r="34" spans="3:3" ht="15" customHeight="1">
      <c r="C34" s="57"/>
    </row>
    <row r="35" spans="3:3" ht="15" customHeight="1">
      <c r="C35" s="57"/>
    </row>
    <row r="36" spans="3:3" ht="15" customHeight="1">
      <c r="C36" s="57"/>
    </row>
  </sheetData>
  <phoneticPr fontId="0"/>
  <printOptions gridLines="1" gridLinesSet="0"/>
  <pageMargins left="0.75" right="0.75" top="1" bottom="1" header="0.5" footer="0.5"/>
  <pageSetup paperSize="9" orientation="portrait" horizontalDpi="160" verticalDpi="160" r:id="rId1"/>
  <headerFooter alignWithMargins="0">
    <oddHeader>&amp;A</oddHeader>
    <oddFooter>- &amp;P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36"/>
  <sheetViews>
    <sheetView workbookViewId="0">
      <pane ySplit="1" topLeftCell="A2" activePane="bottomLeft" state="frozen"/>
      <selection pane="bottomLeft"/>
    </sheetView>
  </sheetViews>
  <sheetFormatPr defaultRowHeight="15" customHeight="1"/>
  <cols>
    <col min="1" max="1" width="6.625" style="46" customWidth="1"/>
    <col min="2" max="2" width="22.375" style="46" customWidth="1"/>
    <col min="3" max="16384" width="9" style="46"/>
  </cols>
  <sheetData>
    <row r="1" spans="1:3" ht="24" customHeight="1">
      <c r="A1" s="58" t="s">
        <v>195</v>
      </c>
      <c r="B1" s="58" t="s">
        <v>196</v>
      </c>
      <c r="C1" s="59" t="s">
        <v>197</v>
      </c>
    </row>
    <row r="2" spans="1:3" ht="15" customHeight="1">
      <c r="A2" s="60" t="s">
        <v>31</v>
      </c>
      <c r="B2" s="60" t="s">
        <v>198</v>
      </c>
      <c r="C2" s="61">
        <v>52000</v>
      </c>
    </row>
    <row r="3" spans="1:3" ht="15" customHeight="1">
      <c r="A3" s="60" t="s">
        <v>2</v>
      </c>
      <c r="B3" s="60" t="s">
        <v>32</v>
      </c>
      <c r="C3" s="61">
        <v>80000</v>
      </c>
    </row>
    <row r="4" spans="1:3" ht="15" customHeight="1">
      <c r="A4" s="60" t="s">
        <v>3</v>
      </c>
      <c r="B4" s="60" t="s">
        <v>33</v>
      </c>
      <c r="C4" s="61">
        <v>100000</v>
      </c>
    </row>
    <row r="5" spans="1:3" ht="15" customHeight="1">
      <c r="A5" s="60" t="s">
        <v>4</v>
      </c>
      <c r="B5" s="60" t="s">
        <v>34</v>
      </c>
      <c r="C5" s="61">
        <v>120000</v>
      </c>
    </row>
    <row r="6" spans="1:3" ht="15" customHeight="1">
      <c r="A6" s="60" t="s">
        <v>5</v>
      </c>
      <c r="B6" s="60" t="s">
        <v>199</v>
      </c>
      <c r="C6" s="61">
        <v>126000</v>
      </c>
    </row>
    <row r="7" spans="1:3" ht="15" customHeight="1">
      <c r="A7" s="60" t="s">
        <v>6</v>
      </c>
      <c r="B7" s="60" t="s">
        <v>200</v>
      </c>
      <c r="C7" s="61">
        <v>140000</v>
      </c>
    </row>
    <row r="8" spans="1:3" ht="15" customHeight="1">
      <c r="A8" s="60" t="s">
        <v>7</v>
      </c>
      <c r="B8" s="60" t="s">
        <v>201</v>
      </c>
      <c r="C8" s="61">
        <v>190000</v>
      </c>
    </row>
    <row r="9" spans="1:3" ht="15" customHeight="1">
      <c r="A9" s="60" t="s">
        <v>202</v>
      </c>
      <c r="B9" s="60" t="s">
        <v>93</v>
      </c>
      <c r="C9" s="61">
        <v>35000</v>
      </c>
    </row>
    <row r="10" spans="1:3" ht="15" customHeight="1">
      <c r="A10" s="60" t="s">
        <v>8</v>
      </c>
      <c r="B10" s="60" t="s">
        <v>94</v>
      </c>
      <c r="C10" s="61">
        <v>49000</v>
      </c>
    </row>
    <row r="11" spans="1:3" ht="15" customHeight="1">
      <c r="A11" s="60" t="s">
        <v>9</v>
      </c>
      <c r="B11" s="60" t="s">
        <v>95</v>
      </c>
      <c r="C11" s="61">
        <v>68000</v>
      </c>
    </row>
    <row r="12" spans="1:3" ht="15" customHeight="1">
      <c r="A12" s="60" t="s">
        <v>10</v>
      </c>
      <c r="B12" s="60" t="s">
        <v>96</v>
      </c>
      <c r="C12" s="61">
        <v>88000</v>
      </c>
    </row>
    <row r="13" spans="1:3" ht="15" customHeight="1">
      <c r="A13" s="60" t="s">
        <v>11</v>
      </c>
      <c r="B13" s="60" t="s">
        <v>97</v>
      </c>
      <c r="C13" s="61">
        <v>18000</v>
      </c>
    </row>
    <row r="14" spans="1:3" ht="15" customHeight="1">
      <c r="A14" s="60" t="s">
        <v>12</v>
      </c>
      <c r="B14" s="60" t="s">
        <v>98</v>
      </c>
      <c r="C14" s="61">
        <v>29000</v>
      </c>
    </row>
    <row r="15" spans="1:3" ht="15" customHeight="1">
      <c r="A15" s="60" t="s">
        <v>35</v>
      </c>
      <c r="B15" s="60" t="s">
        <v>99</v>
      </c>
      <c r="C15" s="61">
        <v>47000</v>
      </c>
    </row>
    <row r="16" spans="1:3" ht="15" customHeight="1">
      <c r="A16" s="60" t="s">
        <v>203</v>
      </c>
      <c r="B16" s="60" t="s">
        <v>100</v>
      </c>
      <c r="C16" s="61">
        <v>18000</v>
      </c>
    </row>
    <row r="17" spans="1:3" ht="15" customHeight="1">
      <c r="A17" s="60" t="s">
        <v>13</v>
      </c>
      <c r="B17" s="60" t="s">
        <v>101</v>
      </c>
      <c r="C17" s="61">
        <v>24000</v>
      </c>
    </row>
    <row r="18" spans="1:3" ht="15" customHeight="1">
      <c r="A18" s="60" t="s">
        <v>14</v>
      </c>
      <c r="B18" s="60" t="s">
        <v>102</v>
      </c>
      <c r="C18" s="62">
        <v>29000</v>
      </c>
    </row>
    <row r="19" spans="1:3" ht="15" customHeight="1">
      <c r="A19" s="60" t="s">
        <v>15</v>
      </c>
      <c r="B19" s="60" t="s">
        <v>103</v>
      </c>
      <c r="C19" s="62">
        <v>45000</v>
      </c>
    </row>
    <row r="20" spans="1:3" ht="15" customHeight="1">
      <c r="A20" s="60" t="s">
        <v>16</v>
      </c>
      <c r="B20" s="60" t="s">
        <v>104</v>
      </c>
      <c r="C20" s="62">
        <v>99000</v>
      </c>
    </row>
    <row r="21" spans="1:3" ht="15" customHeight="1">
      <c r="A21" s="60" t="s">
        <v>17</v>
      </c>
      <c r="B21" s="60" t="s">
        <v>204</v>
      </c>
      <c r="C21" s="62">
        <v>110000</v>
      </c>
    </row>
    <row r="22" spans="1:3" ht="15" customHeight="1">
      <c r="A22" s="60" t="s">
        <v>18</v>
      </c>
      <c r="B22" s="60" t="s">
        <v>205</v>
      </c>
      <c r="C22" s="62">
        <v>160000</v>
      </c>
    </row>
    <row r="23" spans="1:3" ht="15" customHeight="1">
      <c r="A23" s="60" t="s">
        <v>36</v>
      </c>
      <c r="B23" s="60" t="s">
        <v>206</v>
      </c>
      <c r="C23" s="62">
        <v>9900</v>
      </c>
    </row>
    <row r="24" spans="1:3" ht="15" customHeight="1">
      <c r="A24" s="60" t="s">
        <v>19</v>
      </c>
      <c r="B24" s="60" t="s">
        <v>207</v>
      </c>
      <c r="C24" s="62">
        <v>16000</v>
      </c>
    </row>
    <row r="25" spans="1:3" ht="15" customHeight="1">
      <c r="A25" s="60" t="s">
        <v>20</v>
      </c>
      <c r="B25" s="60" t="s">
        <v>208</v>
      </c>
      <c r="C25" s="62">
        <v>18000</v>
      </c>
    </row>
    <row r="26" spans="1:3" ht="15" customHeight="1">
      <c r="A26" s="60" t="s">
        <v>21</v>
      </c>
      <c r="B26" s="60" t="s">
        <v>105</v>
      </c>
      <c r="C26" s="62">
        <v>18000</v>
      </c>
    </row>
    <row r="27" spans="1:3" ht="15" customHeight="1">
      <c r="A27" s="60" t="s">
        <v>22</v>
      </c>
      <c r="B27" s="60" t="s">
        <v>106</v>
      </c>
      <c r="C27" s="62">
        <v>22000</v>
      </c>
    </row>
    <row r="28" spans="1:3" ht="15" customHeight="1">
      <c r="A28" s="60" t="s">
        <v>23</v>
      </c>
      <c r="B28" s="60" t="s">
        <v>107</v>
      </c>
      <c r="C28" s="62">
        <v>32000</v>
      </c>
    </row>
    <row r="29" spans="1:3" ht="15" customHeight="1">
      <c r="A29" s="60" t="s">
        <v>24</v>
      </c>
      <c r="B29" s="60" t="s">
        <v>209</v>
      </c>
      <c r="C29" s="62">
        <v>34000</v>
      </c>
    </row>
    <row r="30" spans="1:3" ht="15" customHeight="1">
      <c r="A30" s="60" t="s">
        <v>37</v>
      </c>
      <c r="B30" s="60" t="s">
        <v>108</v>
      </c>
      <c r="C30" s="62">
        <v>36000</v>
      </c>
    </row>
    <row r="31" spans="1:3" ht="15" customHeight="1">
      <c r="A31" s="60" t="s">
        <v>25</v>
      </c>
      <c r="B31" s="60" t="s">
        <v>109</v>
      </c>
      <c r="C31" s="62">
        <v>45000</v>
      </c>
    </row>
    <row r="32" spans="1:3" ht="15" customHeight="1">
      <c r="A32" s="60" t="s">
        <v>26</v>
      </c>
      <c r="B32" s="60" t="s">
        <v>110</v>
      </c>
      <c r="C32" s="62">
        <v>26000</v>
      </c>
    </row>
    <row r="33" spans="1:3" ht="15" customHeight="1">
      <c r="A33" s="60" t="s">
        <v>27</v>
      </c>
      <c r="B33" s="60" t="s">
        <v>111</v>
      </c>
      <c r="C33" s="63">
        <v>8000</v>
      </c>
    </row>
    <row r="34" spans="1:3" ht="15" customHeight="1">
      <c r="A34" s="60" t="s">
        <v>28</v>
      </c>
      <c r="B34" s="60" t="s">
        <v>112</v>
      </c>
      <c r="C34" s="63">
        <v>15000</v>
      </c>
    </row>
    <row r="35" spans="1:3" ht="15" customHeight="1">
      <c r="A35" s="60" t="s">
        <v>29</v>
      </c>
      <c r="B35" s="60" t="s">
        <v>210</v>
      </c>
      <c r="C35" s="63">
        <v>30000</v>
      </c>
    </row>
    <row r="36" spans="1:3" ht="15" customHeight="1">
      <c r="A36" s="60" t="s">
        <v>30</v>
      </c>
      <c r="B36" s="60" t="s">
        <v>211</v>
      </c>
      <c r="C36" s="63">
        <v>60000</v>
      </c>
    </row>
  </sheetData>
  <phoneticPr fontId="6"/>
  <printOptions horizontalCentered="1" gridLines="1"/>
  <pageMargins left="0.78740157480314965" right="0.78740157480314965" top="1.1811023622047245" bottom="1.1811023622047245" header="0.51181102362204722" footer="0.51181102362204722"/>
  <pageSetup paperSize="9" orientation="portrait" blackAndWhite="1" horizontalDpi="160" verticalDpi="160" r:id="rId1"/>
  <headerFooter alignWithMargins="0">
    <oddHeader>&amp;C&amp;"ＭＳ ゴシック,太字"&amp;14商品一覧表&amp;R&amp;"ＭＳ 明朝,標準"&amp;10&amp;D &amp;T</oddHeader>
    <oddFooter>&amp;C&amp;"ＭＳ 明朝,標準"&amp;10&amp;P/&amp;N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銷售輸入</vt:lpstr>
      <vt:lpstr>客戶</vt:lpstr>
      <vt:lpstr>商品</vt:lpstr>
      <vt:lpstr>客戶編號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02章-5</dc:title>
  <dc:creator>大村あつし</dc:creator>
  <dc:description>譯者：梁銘鼎</dc:description>
  <cp:lastModifiedBy>Aaron</cp:lastModifiedBy>
  <cp:lastPrinted>1998-01-06T04:24:20Z</cp:lastPrinted>
  <dcterms:created xsi:type="dcterms:W3CDTF">1997-09-23T08:33:41Z</dcterms:created>
  <dcterms:modified xsi:type="dcterms:W3CDTF">2021-03-22T18:31:01Z</dcterms:modified>
</cp:coreProperties>
</file>